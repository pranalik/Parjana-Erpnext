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1005" windowWidth="27555" windowHeight="11700"/>
  </bookViews>
  <sheets>
    <sheet name="Pre-Qualifying Questionnaire" sheetId="2" r:id="rId1"/>
    <sheet name="Request for Layout" sheetId="3" r:id="rId2"/>
    <sheet name="Billing Information" sheetId="1" r:id="rId3"/>
    <sheet name="Temporary Invoice (if needed)" sheetId="4" state="hidden" r:id="rId4"/>
  </sheets>
  <definedNames>
    <definedName name="_xlnm.Print_Area" localSheetId="2">'Billing Information'!$A$1:$AD$52</definedName>
    <definedName name="_xlnm.Print_Area" localSheetId="0">'Pre-Qualifying Questionnaire'!$A$1:$AF$51</definedName>
    <definedName name="_xlnm.Print_Area" localSheetId="1">'Request for Layout'!$A$1:$AC$202</definedName>
    <definedName name="_xlnm.Print_Titles" localSheetId="1">'Request for Layout'!$1:$4</definedName>
  </definedNames>
  <calcPr calcId="145621"/>
</workbook>
</file>

<file path=xl/calcChain.xml><?xml version="1.0" encoding="utf-8"?>
<calcChain xmlns="http://schemas.openxmlformats.org/spreadsheetml/2006/main">
  <c r="Q27" i="1" l="1"/>
  <c r="Y27" i="1" s="1"/>
  <c r="Q28" i="1"/>
  <c r="Y28" i="1" s="1"/>
  <c r="Q29" i="1"/>
  <c r="Y29" i="1" s="1"/>
  <c r="F13" i="3"/>
  <c r="Q30" i="1"/>
  <c r="Y30" i="1" s="1"/>
  <c r="U33" i="1" l="1"/>
  <c r="Y33" i="1" s="1"/>
  <c r="Y19" i="4" l="1"/>
  <c r="Y24" i="4" s="1"/>
  <c r="Y32" i="4" s="1"/>
  <c r="U30" i="1" l="1"/>
  <c r="U29" i="1"/>
  <c r="U28" i="1"/>
  <c r="U27" i="1"/>
  <c r="Q31" i="1"/>
  <c r="U31" i="1"/>
  <c r="L31" i="1" l="1"/>
  <c r="I33" i="3"/>
  <c r="H31" i="3"/>
  <c r="I29" i="3"/>
  <c r="H27" i="3"/>
  <c r="T15" i="3"/>
  <c r="F15" i="3"/>
  <c r="AA13" i="3"/>
  <c r="W13" i="3"/>
  <c r="F11" i="3"/>
  <c r="F9" i="3"/>
  <c r="H6" i="3"/>
  <c r="H6" i="1" s="1"/>
  <c r="AA49" i="1" l="1"/>
  <c r="T51" i="1"/>
  <c r="W49" i="1"/>
  <c r="F51" i="1"/>
  <c r="I14" i="1"/>
  <c r="H12" i="1"/>
  <c r="I10" i="1"/>
  <c r="H8" i="1"/>
  <c r="F49" i="1"/>
  <c r="F47" i="1"/>
  <c r="F45" i="1"/>
  <c r="Y31" i="1" l="1"/>
  <c r="Y37" i="1" l="1"/>
  <c r="Z17" i="1" s="1"/>
  <c r="Z16" i="1" l="1"/>
</calcChain>
</file>

<file path=xl/sharedStrings.xml><?xml version="1.0" encoding="utf-8"?>
<sst xmlns="http://schemas.openxmlformats.org/spreadsheetml/2006/main" count="294" uniqueCount="223">
  <si>
    <t>PROJECT NAME:</t>
  </si>
  <si>
    <t>SELLER CONTACT NUMBER:</t>
  </si>
  <si>
    <t>Number of 5-Footers</t>
  </si>
  <si>
    <t>Number of 10-Footers</t>
  </si>
  <si>
    <t>Number of 20-Footers</t>
  </si>
  <si>
    <t>Number of 40-Footers</t>
  </si>
  <si>
    <t>@</t>
  </si>
  <si>
    <t>EGRP TOTALS</t>
  </si>
  <si>
    <t>INVOICE TOTAL:</t>
  </si>
  <si>
    <t xml:space="preserve">     Pre-Qualifying Form Completed</t>
  </si>
  <si>
    <t xml:space="preserve">     Questionnaire/Request for Layout Form Completed</t>
  </si>
  <si>
    <t xml:space="preserve">     Engineering to Generate Drawings and Estimate Figures</t>
  </si>
  <si>
    <t xml:space="preserve">     Drawings Approved by Management</t>
  </si>
  <si>
    <t>State:</t>
  </si>
  <si>
    <t>Zip:</t>
  </si>
  <si>
    <t>Fax:</t>
  </si>
  <si>
    <t>Commission Rate:</t>
  </si>
  <si>
    <t>Other:</t>
  </si>
  <si>
    <t>Amount:</t>
  </si>
  <si>
    <t xml:space="preserve">     Address:</t>
  </si>
  <si>
    <t xml:space="preserve">     City:</t>
  </si>
  <si>
    <t xml:space="preserve">     Phone:</t>
  </si>
  <si>
    <t>SALES PERSON:</t>
  </si>
  <si>
    <t>INSTALLER:</t>
  </si>
  <si>
    <t>INSTALLER CONTACT NUMBER:</t>
  </si>
  <si>
    <t>Seller Commission:</t>
  </si>
  <si>
    <t>Installer Commission:</t>
  </si>
  <si>
    <t>Customer Information:</t>
  </si>
  <si>
    <t>Customer Name:</t>
  </si>
  <si>
    <t>Address:</t>
  </si>
  <si>
    <t>City:</t>
  </si>
  <si>
    <t>Required Install Date:</t>
  </si>
  <si>
    <t>Initial Plan of Action:</t>
  </si>
  <si>
    <t>Submission Date:</t>
  </si>
  <si>
    <t>Layout Needed By:</t>
  </si>
  <si>
    <t xml:space="preserve">IMPORTANT REMINDERS: </t>
  </si>
  <si>
    <t xml:space="preserve"> </t>
  </si>
  <si>
    <t>&gt; Installation shall NOT occur within 500 feet of a wetland regulated Part 303, Wetlands   Protection of the NPEPA, or inland lake or stream regulated under Part 301, Inland Lakes and Streams, of the NRPEA</t>
  </si>
  <si>
    <t>TYPE OF PROPERTY:</t>
  </si>
  <si>
    <t>FOUNDATION TYPE/DETAILS:</t>
  </si>
  <si>
    <t xml:space="preserve"> If yes to Sump Pump:   What is the frequency of activation? </t>
  </si>
  <si>
    <t>North</t>
  </si>
  <si>
    <t>South</t>
  </si>
  <si>
    <t>East</t>
  </si>
  <si>
    <t>West</t>
  </si>
  <si>
    <t>ATTACHMENTS</t>
  </si>
  <si>
    <t>Engineering Notes</t>
  </si>
  <si>
    <t>(be specific and detailed)</t>
  </si>
  <si>
    <r>
      <t xml:space="preserve"> If a </t>
    </r>
    <r>
      <rPr>
        <b/>
        <sz val="11"/>
        <color theme="1"/>
        <rFont val="Calibri"/>
        <family val="2"/>
        <scheme val="minor"/>
      </rPr>
      <t>well</t>
    </r>
    <r>
      <rPr>
        <sz val="11"/>
        <color theme="1"/>
        <rFont val="Calibri"/>
        <family val="2"/>
        <scheme val="minor"/>
      </rPr>
      <t xml:space="preserve"> was selected above:  what is the type of well and depth of the well in use?</t>
    </r>
  </si>
  <si>
    <r>
      <t xml:space="preserve">&gt; </t>
    </r>
    <r>
      <rPr>
        <b/>
        <sz val="11"/>
        <color theme="1"/>
        <rFont val="Calibri"/>
        <family val="2"/>
        <scheme val="minor"/>
      </rPr>
      <t>Installation shall NOT occur within:</t>
    </r>
  </si>
  <si>
    <r>
      <t xml:space="preserve"> </t>
    </r>
    <r>
      <rPr>
        <sz val="11"/>
        <color theme="1"/>
        <rFont val="Calibri"/>
        <family val="2"/>
        <scheme val="minor"/>
      </rPr>
      <t xml:space="preserve">    </t>
    </r>
  </si>
  <si>
    <r>
      <t>Was</t>
    </r>
    <r>
      <rPr>
        <sz val="11"/>
        <color rgb="FFFF0000"/>
        <rFont val="Calibri"/>
        <family val="2"/>
        <scheme val="minor"/>
      </rPr>
      <t xml:space="preserve"> </t>
    </r>
    <r>
      <rPr>
        <sz val="11"/>
        <color theme="1"/>
        <rFont val="Calibri"/>
        <family val="2"/>
        <scheme val="minor"/>
      </rPr>
      <t xml:space="preserve">the site previously industrial?   </t>
    </r>
  </si>
  <si>
    <t>Date of Contact:</t>
  </si>
  <si>
    <t>CUSTOMER PRE-QUALIFYING QUESTIONNAIRE</t>
  </si>
  <si>
    <t>Does the Property Contain a Well?</t>
  </si>
  <si>
    <t>Is the Property 200 Feet from a Type-I or Type-IIA water Supply well?</t>
  </si>
  <si>
    <t>Type and Extent of Water Issue:</t>
  </si>
  <si>
    <t>Referred by:</t>
  </si>
  <si>
    <t>Is the property on a large lake or in a flood plain?</t>
  </si>
  <si>
    <t>Installer:</t>
  </si>
  <si>
    <t>Sales Person:</t>
  </si>
  <si>
    <t>(if different from sales person)</t>
  </si>
  <si>
    <t>Site Location &amp; Information:</t>
  </si>
  <si>
    <t>Site Address:</t>
  </si>
  <si>
    <t>Phone:</t>
  </si>
  <si>
    <t>Contact:</t>
  </si>
  <si>
    <t>Billing Address:</t>
  </si>
  <si>
    <t>E-Mail:</t>
  </si>
  <si>
    <t xml:space="preserve">Phone: </t>
  </si>
  <si>
    <t xml:space="preserve">Questionnaire for EGRP Applications </t>
  </si>
  <si>
    <t>&amp; Request for Layout Form</t>
  </si>
  <si>
    <t xml:space="preserve">What type of water supply is currently used? (Check one): </t>
  </si>
  <si>
    <t xml:space="preserve"> - Well Water</t>
  </si>
  <si>
    <t xml:space="preserve"> - City Water &amp; City Sewer</t>
  </si>
  <si>
    <r>
      <t xml:space="preserve"> </t>
    </r>
    <r>
      <rPr>
        <sz val="14"/>
        <color theme="1"/>
        <rFont val="Calibri"/>
        <family val="2"/>
        <scheme val="minor"/>
      </rPr>
      <t>-</t>
    </r>
    <r>
      <rPr>
        <sz val="11"/>
        <color theme="1"/>
        <rFont val="Calibri"/>
        <family val="2"/>
        <scheme val="minor"/>
      </rPr>
      <t xml:space="preserve">     Parjana shall verify that the location is </t>
    </r>
    <r>
      <rPr>
        <b/>
        <sz val="11"/>
        <color theme="1"/>
        <rFont val="Calibri"/>
        <family val="2"/>
        <scheme val="minor"/>
      </rPr>
      <t>NOT</t>
    </r>
    <r>
      <rPr>
        <sz val="11"/>
        <color theme="1"/>
        <rFont val="Calibri"/>
        <family val="2"/>
        <scheme val="minor"/>
      </rPr>
      <t xml:space="preserve"> within 500 feet of a site listed on the DEQ’s Part 201 Site List, or the - location on the DEQ’s leaking underground storage tank list. (Filled out by installer)</t>
    </r>
  </si>
  <si>
    <t xml:space="preserve"> - COMMERCIAL</t>
  </si>
  <si>
    <t xml:space="preserve"> - RESIDENTIAL</t>
  </si>
  <si>
    <t xml:space="preserve"> - RECREATIONAL</t>
  </si>
  <si>
    <t xml:space="preserve"> - AGRICULTURAL</t>
  </si>
  <si>
    <t xml:space="preserve"> - MUNICIPAL</t>
  </si>
  <si>
    <t xml:space="preserve">Brief Description:  </t>
  </si>
  <si>
    <t xml:space="preserve"> - BLOCK WALL</t>
  </si>
  <si>
    <t xml:space="preserve"> - CONCRETE WALL</t>
  </si>
  <si>
    <t xml:space="preserve"> - BRICK WALL</t>
  </si>
  <si>
    <t xml:space="preserve"> - STANDING WATER</t>
  </si>
  <si>
    <t xml:space="preserve"> - WATERPROOFING</t>
  </si>
  <si>
    <t xml:space="preserve"> - OTHER:</t>
  </si>
  <si>
    <t>Comments:</t>
  </si>
  <si>
    <t xml:space="preserve"> - WATER IN THE WALL</t>
  </si>
  <si>
    <t xml:space="preserve"> - WATER OVER/UNDER FOOTER</t>
  </si>
  <si>
    <t xml:space="preserve"> - CHIMNEY DOOR/PIPE</t>
  </si>
  <si>
    <t xml:space="preserve"> - WINDOW CAP/FLOOR CRACK</t>
  </si>
  <si>
    <t xml:space="preserve"> - SEWER BACK UPS</t>
  </si>
  <si>
    <t xml:space="preserve"> - I-BEAM LEAK</t>
  </si>
  <si>
    <t xml:space="preserve"> - ROD HOLES</t>
  </si>
  <si>
    <t xml:space="preserve"> - WALLS BOWED - circle problem wall(s):</t>
  </si>
  <si>
    <t xml:space="preserve"> - WALLS CRACKED - circle problem wall(s):</t>
  </si>
  <si>
    <t>Severity of Issue(s):</t>
  </si>
  <si>
    <t xml:space="preserve"> - YES</t>
  </si>
  <si>
    <t xml:space="preserve"> - NO</t>
  </si>
  <si>
    <t>Was the site previously conaminated?</t>
  </si>
  <si>
    <t>Was the site previously refilled?</t>
  </si>
  <si>
    <t xml:space="preserve"> - Wells for drinking water</t>
  </si>
  <si>
    <t xml:space="preserve"> - Wetlands</t>
  </si>
  <si>
    <t xml:space="preserve"> - MISS DIG Findings</t>
  </si>
  <si>
    <t xml:space="preserve"> - Sprinkler System(s)</t>
  </si>
  <si>
    <t xml:space="preserve"> - Fertilizer Storage</t>
  </si>
  <si>
    <t xml:space="preserve"> - Manure Pile</t>
  </si>
  <si>
    <t xml:space="preserve"> - Road Run-Off</t>
  </si>
  <si>
    <t xml:space="preserve"> - Contaminated Ground</t>
  </si>
  <si>
    <t xml:space="preserve"> - Underground Tank(s):  Please denote all tanks; if there are any buried storage tanks or non-working tanks, classify them below and record the non-working tanks in the comments:</t>
  </si>
  <si>
    <t xml:space="preserve"> - Septic</t>
  </si>
  <si>
    <t xml:space="preserve"> - Fuel</t>
  </si>
  <si>
    <t xml:space="preserve"> - Gas</t>
  </si>
  <si>
    <t xml:space="preserve"> - Chemical</t>
  </si>
  <si>
    <r>
      <t xml:space="preserve"> - Other (</t>
    </r>
    <r>
      <rPr>
        <i/>
        <sz val="11"/>
        <color theme="1"/>
        <rFont val="Calibri"/>
        <family val="2"/>
        <scheme val="minor"/>
      </rPr>
      <t>explain</t>
    </r>
    <r>
      <rPr>
        <sz val="11"/>
        <color theme="1"/>
        <rFont val="Calibri"/>
        <family val="2"/>
        <scheme val="minor"/>
      </rPr>
      <t>):</t>
    </r>
  </si>
  <si>
    <t>If you have any further information or comments on a section that was not covered, please explain in detail below.</t>
  </si>
  <si>
    <t xml:space="preserve"> - Google Maps</t>
  </si>
  <si>
    <t xml:space="preserve"> - CAD</t>
  </si>
  <si>
    <t xml:space="preserve"> - Blue Print</t>
  </si>
  <si>
    <t xml:space="preserve"> - Drawing</t>
  </si>
  <si>
    <t xml:space="preserve"> - Other: </t>
  </si>
  <si>
    <t>If Yes, please provide additional screen shots containing the property information and the following information for each screen shot provided:</t>
  </si>
  <si>
    <t xml:space="preserve"> - HIGHLIGHT SPECIFIC AREA(S) OF PROPERTY TO BE ADDRESSED</t>
  </si>
  <si>
    <r>
      <rPr>
        <sz val="11"/>
        <color theme="1"/>
        <rFont val="Calibri"/>
        <family val="2"/>
        <scheme val="minor"/>
      </rPr>
      <t xml:space="preserve"> - INDICATE AREAS WHERE DRILLING </t>
    </r>
    <r>
      <rPr>
        <b/>
        <u/>
        <sz val="11"/>
        <color theme="1"/>
        <rFont val="Calibri"/>
        <family val="2"/>
        <scheme val="minor"/>
      </rPr>
      <t>CANNOT</t>
    </r>
    <r>
      <rPr>
        <sz val="11"/>
        <color theme="1"/>
        <rFont val="Calibri"/>
        <family val="2"/>
        <scheme val="minor"/>
      </rPr>
      <t xml:space="preserve"> BE ACCOMPLISHED</t>
    </r>
  </si>
  <si>
    <r>
      <rPr>
        <sz val="11"/>
        <color theme="1"/>
        <rFont val="Calibri"/>
        <family val="2"/>
        <scheme val="minor"/>
      </rPr>
      <t xml:space="preserve"> - HIGHLIGHT SPECIFIC AREA(S) THAT </t>
    </r>
    <r>
      <rPr>
        <b/>
        <u/>
        <sz val="11"/>
        <color theme="1"/>
        <rFont val="Calibri"/>
        <family val="2"/>
        <scheme val="minor"/>
      </rPr>
      <t>CANNOT</t>
    </r>
    <r>
      <rPr>
        <sz val="11"/>
        <color theme="1"/>
        <rFont val="Calibri"/>
        <family val="2"/>
        <scheme val="minor"/>
      </rPr>
      <t xml:space="preserve"> BE ACCESSED BY DRILL</t>
    </r>
  </si>
  <si>
    <t xml:space="preserve"> - IDENTIFY EXACT LOCATION ON ARIAL VIEW</t>
  </si>
  <si>
    <t xml:space="preserve"> SITE INFORMATION AND LAYOUT REQUEST DATA: </t>
  </si>
  <si>
    <r>
      <t xml:space="preserve"> DRAINING OBJECTIVE</t>
    </r>
    <r>
      <rPr>
        <u/>
        <sz val="12"/>
        <color theme="1"/>
        <rFont val="Calibri"/>
        <family val="2"/>
        <scheme val="minor"/>
      </rPr>
      <t>:</t>
    </r>
    <r>
      <rPr>
        <sz val="12"/>
        <color theme="1"/>
        <rFont val="Calibri"/>
        <family val="2"/>
        <scheme val="minor"/>
      </rPr>
      <t xml:space="preserve"> </t>
    </r>
  </si>
  <si>
    <r>
      <t>SITE HISTORY</t>
    </r>
    <r>
      <rPr>
        <b/>
        <i/>
        <u/>
        <sz val="12"/>
        <color theme="1"/>
        <rFont val="Calibri"/>
        <family val="2"/>
        <scheme val="minor"/>
      </rPr>
      <t>:</t>
    </r>
    <r>
      <rPr>
        <b/>
        <i/>
        <sz val="12"/>
        <color theme="1"/>
        <rFont val="Calibri"/>
        <family val="2"/>
        <scheme val="minor"/>
      </rPr>
      <t xml:space="preserve"> </t>
    </r>
    <r>
      <rPr>
        <i/>
        <sz val="12"/>
        <color theme="1"/>
        <rFont val="Calibri"/>
        <family val="2"/>
        <scheme val="minor"/>
      </rPr>
      <t>(circle one)</t>
    </r>
  </si>
  <si>
    <r>
      <t>POTENTIAL BARRIERS / CONCERNS:</t>
    </r>
    <r>
      <rPr>
        <b/>
        <sz val="12"/>
        <color theme="1"/>
        <rFont val="Calibri"/>
        <family val="2"/>
        <scheme val="minor"/>
      </rPr>
      <t xml:space="preserve"> </t>
    </r>
    <r>
      <rPr>
        <i/>
        <sz val="12"/>
        <color theme="1"/>
        <rFont val="Calibri"/>
        <family val="2"/>
        <scheme val="minor"/>
      </rPr>
      <t>(check all that apply)</t>
    </r>
  </si>
  <si>
    <r>
      <t>IS THERE A POSITIVE GRADE?</t>
    </r>
    <r>
      <rPr>
        <u/>
        <sz val="12"/>
        <color theme="1"/>
        <rFont val="Calibri"/>
        <family val="2"/>
        <scheme val="minor"/>
      </rPr>
      <t xml:space="preserve">  (</t>
    </r>
    <r>
      <rPr>
        <i/>
        <u/>
        <sz val="12"/>
        <color theme="1"/>
        <rFont val="Calibri"/>
        <family val="2"/>
        <scheme val="minor"/>
      </rPr>
      <t>If so, please draw and explain below</t>
    </r>
    <r>
      <rPr>
        <u/>
        <sz val="12"/>
        <color theme="1"/>
        <rFont val="Calibri"/>
        <family val="2"/>
        <scheme val="minor"/>
      </rPr>
      <t>)</t>
    </r>
  </si>
  <si>
    <r>
      <t>ATTACH SCREEN SHOT OF PROPERTY TO THIS REPORT:</t>
    </r>
    <r>
      <rPr>
        <b/>
        <i/>
        <sz val="12"/>
        <color theme="1"/>
        <rFont val="Calibri"/>
        <family val="2"/>
        <scheme val="minor"/>
      </rPr>
      <t xml:space="preserve"> </t>
    </r>
    <r>
      <rPr>
        <i/>
        <sz val="12"/>
        <color theme="1"/>
        <rFont val="Calibri"/>
        <family val="2"/>
        <scheme val="minor"/>
      </rPr>
      <t>(circle source)</t>
    </r>
  </si>
  <si>
    <r>
      <t>IS THERE MORE THAN ONE LAYOUT REQUIRED FOR THIS PROPERTY</t>
    </r>
    <r>
      <rPr>
        <b/>
        <sz val="12"/>
        <color theme="1"/>
        <rFont val="Calibri"/>
        <family val="2"/>
        <scheme val="minor"/>
      </rPr>
      <t xml:space="preserve">: </t>
    </r>
  </si>
  <si>
    <r>
      <t>SCREEN SHOT CHECK-LIST</t>
    </r>
    <r>
      <rPr>
        <b/>
        <i/>
        <u/>
        <sz val="12"/>
        <color theme="1"/>
        <rFont val="Calibri"/>
        <family val="2"/>
        <scheme val="minor"/>
      </rPr>
      <t>:</t>
    </r>
    <r>
      <rPr>
        <b/>
        <i/>
        <sz val="12"/>
        <color theme="1"/>
        <rFont val="Calibri"/>
        <family val="2"/>
        <scheme val="minor"/>
      </rPr>
      <t xml:space="preserve"> </t>
    </r>
    <r>
      <rPr>
        <i/>
        <sz val="12"/>
        <color theme="1"/>
        <rFont val="Calibri"/>
        <family val="2"/>
        <scheme val="minor"/>
      </rPr>
      <t>(be sure to address all questions below)</t>
    </r>
  </si>
  <si>
    <t xml:space="preserve">Septic?    </t>
  </si>
  <si>
    <t xml:space="preserve">E-Mail: </t>
  </si>
  <si>
    <r>
      <t>Billing Information</t>
    </r>
    <r>
      <rPr>
        <i/>
        <sz val="12"/>
        <color theme="1"/>
        <rFont val="Calibri"/>
        <family val="2"/>
        <scheme val="minor"/>
      </rPr>
      <t xml:space="preserve"> (if different from above</t>
    </r>
    <r>
      <rPr>
        <sz val="12"/>
        <color theme="1"/>
        <rFont val="Calibri"/>
        <family val="2"/>
        <scheme val="minor"/>
      </rPr>
      <t>):</t>
    </r>
  </si>
  <si>
    <t xml:space="preserve">Questionnaire Date: </t>
  </si>
  <si>
    <t xml:space="preserve"> Invoice To:</t>
  </si>
  <si>
    <t>BILLING PROCESSING FORM</t>
  </si>
  <si>
    <t>Billing Request Date:</t>
  </si>
  <si>
    <r>
      <t xml:space="preserve">If </t>
    </r>
    <r>
      <rPr>
        <b/>
        <u/>
        <sz val="12"/>
        <color theme="1"/>
        <rFont val="Cambria"/>
        <family val="1"/>
      </rPr>
      <t>NO</t>
    </r>
    <r>
      <rPr>
        <b/>
        <sz val="12"/>
        <color theme="1"/>
        <rFont val="Cambria"/>
        <family val="1"/>
      </rPr>
      <t xml:space="preserve"> to all of the questions above, continue on:</t>
    </r>
  </si>
  <si>
    <t xml:space="preserve"> - TILE</t>
  </si>
  <si>
    <t xml:space="preserve"> - CARPET</t>
  </si>
  <si>
    <r>
      <t>ISSUES:</t>
    </r>
    <r>
      <rPr>
        <b/>
        <sz val="12"/>
        <color theme="1"/>
        <rFont val="Calibri"/>
        <family val="2"/>
        <scheme val="minor"/>
      </rPr>
      <t xml:space="preserve">  </t>
    </r>
    <r>
      <rPr>
        <i/>
        <sz val="12"/>
        <color theme="1"/>
        <rFont val="Calibri"/>
        <family val="2"/>
        <scheme val="minor"/>
      </rPr>
      <t xml:space="preserve">(check </t>
    </r>
    <r>
      <rPr>
        <i/>
        <u/>
        <sz val="12"/>
        <color theme="1"/>
        <rFont val="Calibri"/>
        <family val="2"/>
        <scheme val="minor"/>
      </rPr>
      <t>all</t>
    </r>
    <r>
      <rPr>
        <i/>
        <sz val="12"/>
        <color theme="1"/>
        <rFont val="Calibri"/>
        <family val="2"/>
        <scheme val="minor"/>
      </rPr>
      <t xml:space="preserve"> the apply)</t>
    </r>
  </si>
  <si>
    <t>- Circle option that applies:</t>
  </si>
  <si>
    <t xml:space="preserve">- Crawl space:  </t>
  </si>
  <si>
    <t>- Sump Pump</t>
  </si>
  <si>
    <r>
      <t xml:space="preserve"> - Accessibility (decks, paver patios, </t>
    </r>
    <r>
      <rPr>
        <i/>
        <sz val="11"/>
        <color theme="1"/>
        <rFont val="Calibri"/>
        <family val="2"/>
        <scheme val="minor"/>
      </rPr>
      <t>wires, landscaping, narrow gates, steep inclines/declines</t>
    </r>
    <r>
      <rPr>
        <sz val="11"/>
        <color theme="1"/>
        <rFont val="Calibri"/>
        <family val="2"/>
        <scheme val="minor"/>
      </rPr>
      <t>) - Please Describe:</t>
    </r>
  </si>
  <si>
    <t>Number of Caps Ordered (Typically 15% of Order)</t>
  </si>
  <si>
    <t>EGRP QTY.</t>
  </si>
  <si>
    <t>LINEAR FEET</t>
  </si>
  <si>
    <t>UNIT COST</t>
  </si>
  <si>
    <t>EXTENSION</t>
  </si>
  <si>
    <t>Number of Caps</t>
  </si>
  <si>
    <t>Cost Per Cap ($1.00 each as of 8/21)</t>
  </si>
  <si>
    <t>Cost per linear foot of EGRP ($2.80 as of 8/21)</t>
  </si>
  <si>
    <t>1) 200 feet from a Type-I or Type-IIA water supply well</t>
  </si>
  <si>
    <t>2) 75 feet from a type IIB or type III water supply well</t>
  </si>
  <si>
    <t>3) 50 feet for any domestic well</t>
  </si>
  <si>
    <r>
      <t xml:space="preserve"> -      Parjana shall verify that there are </t>
    </r>
    <r>
      <rPr>
        <b/>
        <sz val="11"/>
        <color theme="1"/>
        <rFont val="Calibri"/>
        <family val="2"/>
        <scheme val="minor"/>
      </rPr>
      <t>NO</t>
    </r>
    <r>
      <rPr>
        <sz val="11"/>
        <color theme="1"/>
        <rFont val="Calibri"/>
        <family val="2"/>
        <scheme val="minor"/>
      </rPr>
      <t xml:space="preserve"> underground fuel oil storage tanks on the property</t>
    </r>
  </si>
  <si>
    <r>
      <t xml:space="preserve"> </t>
    </r>
    <r>
      <rPr>
        <sz val="14"/>
        <color theme="1"/>
        <rFont val="Calibri"/>
        <family val="2"/>
        <scheme val="minor"/>
      </rPr>
      <t xml:space="preserve">-    </t>
    </r>
    <r>
      <rPr>
        <sz val="11"/>
        <color theme="1"/>
        <rFont val="Calibri"/>
        <family val="2"/>
        <scheme val="minor"/>
      </rPr>
      <t>Parjana shall maintain a list of all locations where EGRPs are installed. The list shall be retained by Parjana and provided to the DEQ upon request</t>
    </r>
  </si>
  <si>
    <t>INVOICE</t>
  </si>
  <si>
    <t>Date</t>
  </si>
  <si>
    <t>Invoice #</t>
  </si>
  <si>
    <t>000120</t>
  </si>
  <si>
    <t>1274 Library Street, Suite 600</t>
  </si>
  <si>
    <t>Detroit, MI 48226</t>
  </si>
  <si>
    <t xml:space="preserve">Phone: (313) 437-4250 / Fax: (313) 915-5448 </t>
  </si>
  <si>
    <t>Bill To:</t>
  </si>
  <si>
    <t>PO #</t>
  </si>
  <si>
    <t>Terms</t>
  </si>
  <si>
    <t>Project</t>
  </si>
  <si>
    <t>H2Opportunities</t>
  </si>
  <si>
    <t>Belle Isle</t>
  </si>
  <si>
    <t>PO Box 94</t>
  </si>
  <si>
    <t>Royal Oak, MI 48068</t>
  </si>
  <si>
    <t>QUANTITY</t>
  </si>
  <si>
    <t>DESCRIPTION</t>
  </si>
  <si>
    <t>RATE</t>
  </si>
  <si>
    <t>AMOUNT</t>
  </si>
  <si>
    <t>Linear Feet of Installed EGRP for Belle Isle Project</t>
  </si>
  <si>
    <t>Discount (In Kind Contribution)</t>
  </si>
  <si>
    <t>PROJECT TOTAL</t>
  </si>
  <si>
    <t>MEDC - PO #2309</t>
  </si>
  <si>
    <t>Belle Isle Storm Water Management Demonstration Project</t>
  </si>
  <si>
    <t>Initial Project Down Payment Upon Receipt of Invoice (65%)</t>
  </si>
  <si>
    <t>INVOICE TOTAL</t>
  </si>
  <si>
    <t>Depth of Foundation below grade around entire structure:</t>
  </si>
  <si>
    <t>Date Received:</t>
  </si>
  <si>
    <t xml:space="preserve">Pre-Paid Residential Engineering Fees:  </t>
  </si>
  <si>
    <t xml:space="preserve">Pre-Paid Commercial Engineering Fees:   </t>
  </si>
  <si>
    <r>
      <t>CNTRL-SHIFT-</t>
    </r>
    <r>
      <rPr>
        <sz val="16"/>
        <color theme="1"/>
        <rFont val="Calibri"/>
        <family val="2"/>
        <scheme val="minor"/>
      </rPr>
      <t>C</t>
    </r>
  </si>
  <si>
    <r>
      <t>CNTRL-SHIFT-</t>
    </r>
    <r>
      <rPr>
        <sz val="16"/>
        <color theme="1"/>
        <rFont val="Calibri"/>
        <family val="2"/>
        <scheme val="minor"/>
      </rPr>
      <t>B</t>
    </r>
  </si>
  <si>
    <r>
      <t>CNTRL-SHIFT-</t>
    </r>
    <r>
      <rPr>
        <sz val="16"/>
        <color theme="1"/>
        <rFont val="Calibri"/>
        <family val="2"/>
        <scheme val="minor"/>
      </rPr>
      <t>A</t>
    </r>
  </si>
  <si>
    <t>TO ERASE ALL DATA ON THIS PAGE HIT:</t>
  </si>
  <si>
    <t>Note: If the Property is within 500 Feet of a protected wetland, see Request for Layout form for specific restrictions.</t>
  </si>
  <si>
    <t>TBD</t>
  </si>
  <si>
    <t>x</t>
  </si>
  <si>
    <t xml:space="preserve">MI </t>
  </si>
  <si>
    <t>MI</t>
  </si>
  <si>
    <t>DEPOSIT FOR ENGINEERING RECEIVED:</t>
  </si>
  <si>
    <t xml:space="preserve"> - High and Low Water Tables</t>
  </si>
  <si>
    <t>Photo of Property</t>
  </si>
  <si>
    <t>Dan Phillips</t>
  </si>
  <si>
    <t>734-223-9539</t>
  </si>
  <si>
    <t>David Whitney Building</t>
  </si>
  <si>
    <t>dan@parjanadistribution.com</t>
  </si>
  <si>
    <t>The Roxbury Group - Vince Dattilo</t>
  </si>
  <si>
    <t>1553 Woodward Avenue</t>
  </si>
  <si>
    <t>Detroit</t>
  </si>
  <si>
    <t>248-496-9099</t>
  </si>
  <si>
    <t>vdattilo@roxburygroup.com</t>
  </si>
  <si>
    <t>Building is 100 years old, in an urban environment and has water infiltrating the foundation at various points.</t>
  </si>
  <si>
    <t>Need to review site to determine where drilling can be accomplished.  Work with City of Detroit to find latest documents revealing utilities and water/sewer lines.  Work with Roxbury Group to facilitate installation.  Need install ASAP to allow 90+ days for acclimation so if the EGRP System does not work, a plan B can be put into place in enough time for the late Fall 2014 re-opening of the building.</t>
  </si>
  <si>
    <t>535 Griswold Street, Suite 2650</t>
  </si>
  <si>
    <t>248-496-9099 / 313-963-6118</t>
  </si>
  <si>
    <t>Urban Building - All concrete drilling area.</t>
  </si>
  <si>
    <t>Water is infiltrating foundation.</t>
  </si>
  <si>
    <t xml:space="preserve">Large foundation encompassing approximately 1/4 of city block.  Drilling to be completed on sidewalk/easement, being aware of extruding basement in areas under sidewalk.  Drawings will depict these structures.  </t>
  </si>
  <si>
    <t xml:space="preserve">Severe water infiltration in several areas of the foundation.  </t>
  </si>
  <si>
    <t>This is an important project as it will pave the way for numerous other projects within urban settings going forward.  There are various blueprints and maps of utilities attached with this form.  Please work closely with Joe Kramer on the locations of the EGRP.</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</si>
</sst>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8" formatCode="&quot;$&quot;#,##0.00_);[Red]\(&quot;$&quot;#,##0.00\)"/>
    <numFmt numFmtId="164" formatCode="&quot;$&quot;#,##0.00"/>
    <numFmt numFmtId="165" formatCode="&quot;$&quot;#,##0"/>
    <numFmt numFmtId="166" formatCode="00"/>
  </numFmts>
  <fonts count="34" x14ac:knownFonts="1">
    <font>
      <sz val="11"/>
      <color theme="1"/>
      <name val="Calibri"/>
      <family val="2"/>
      <scheme val="minor"/>
    </font>
    <font>
      <b/>
      <sz val="11"/>
      <color theme="1"/>
      <name val="Calibri"/>
      <family val="2"/>
      <scheme val="minor"/>
    </font>
    <font>
      <b/>
      <u/>
      <sz val="11"/>
      <color theme="1"/>
      <name val="Calibri"/>
      <family val="2"/>
      <scheme val="minor"/>
    </font>
    <font>
      <sz val="14"/>
      <color theme="1"/>
      <name val="Calibri"/>
      <family val="2"/>
      <scheme val="minor"/>
    </font>
    <font>
      <sz val="11"/>
      <color rgb="FFFF0000"/>
      <name val="Calibri"/>
      <family val="2"/>
      <scheme val="minor"/>
    </font>
    <font>
      <b/>
      <u/>
      <sz val="11"/>
      <color theme="1"/>
      <name val="Cambria"/>
      <family val="1"/>
    </font>
    <font>
      <sz val="12"/>
      <color theme="1"/>
      <name val="Cambria"/>
      <family val="1"/>
    </font>
    <font>
      <b/>
      <sz val="12"/>
      <color theme="1"/>
      <name val="Cambria"/>
      <family val="1"/>
    </font>
    <font>
      <b/>
      <sz val="14"/>
      <color theme="1"/>
      <name val="Calibri"/>
      <family val="2"/>
      <scheme val="minor"/>
    </font>
    <font>
      <sz val="12"/>
      <color theme="1"/>
      <name val="Calibri"/>
      <family val="2"/>
      <scheme val="minor"/>
    </font>
    <font>
      <i/>
      <sz val="11"/>
      <color theme="1"/>
      <name val="Calibri"/>
      <family val="2"/>
      <scheme val="minor"/>
    </font>
    <font>
      <b/>
      <u/>
      <sz val="16"/>
      <color theme="1"/>
      <name val="Calibri"/>
      <family val="2"/>
      <scheme val="minor"/>
    </font>
    <font>
      <b/>
      <sz val="12"/>
      <color theme="1"/>
      <name val="Calibri"/>
      <family val="2"/>
      <scheme val="minor"/>
    </font>
    <font>
      <u/>
      <sz val="14"/>
      <color theme="1"/>
      <name val="Calibri"/>
      <family val="2"/>
      <scheme val="minor"/>
    </font>
    <font>
      <sz val="9"/>
      <color theme="1"/>
      <name val="Calibri"/>
      <family val="2"/>
      <scheme val="minor"/>
    </font>
    <font>
      <i/>
      <u/>
      <sz val="11"/>
      <color theme="1"/>
      <name val="Calibri"/>
      <family val="2"/>
      <scheme val="minor"/>
    </font>
    <font>
      <b/>
      <u/>
      <sz val="14"/>
      <color theme="1"/>
      <name val="Calibri"/>
      <family val="2"/>
      <scheme val="minor"/>
    </font>
    <font>
      <b/>
      <u/>
      <sz val="12"/>
      <color theme="1"/>
      <name val="Calibri"/>
      <family val="2"/>
      <scheme val="minor"/>
    </font>
    <font>
      <u/>
      <sz val="12"/>
      <color theme="1"/>
      <name val="Calibri"/>
      <family val="2"/>
      <scheme val="minor"/>
    </font>
    <font>
      <i/>
      <sz val="12"/>
      <color theme="1"/>
      <name val="Calibri"/>
      <family val="2"/>
      <scheme val="minor"/>
    </font>
    <font>
      <b/>
      <i/>
      <u/>
      <sz val="12"/>
      <color theme="1"/>
      <name val="Calibri"/>
      <family val="2"/>
      <scheme val="minor"/>
    </font>
    <font>
      <b/>
      <i/>
      <sz val="12"/>
      <color theme="1"/>
      <name val="Calibri"/>
      <family val="2"/>
      <scheme val="minor"/>
    </font>
    <font>
      <i/>
      <u/>
      <sz val="12"/>
      <color theme="1"/>
      <name val="Calibri"/>
      <family val="2"/>
      <scheme val="minor"/>
    </font>
    <font>
      <i/>
      <sz val="14"/>
      <color theme="1"/>
      <name val="Calibri"/>
      <family val="2"/>
      <scheme val="minor"/>
    </font>
    <font>
      <u/>
      <sz val="11"/>
      <color theme="10"/>
      <name val="Calibri"/>
      <family val="2"/>
      <scheme val="minor"/>
    </font>
    <font>
      <b/>
      <sz val="16"/>
      <color theme="1"/>
      <name val="Calibri"/>
      <family val="2"/>
      <scheme val="minor"/>
    </font>
    <font>
      <b/>
      <u/>
      <sz val="12"/>
      <color theme="1"/>
      <name val="Cambria"/>
      <family val="1"/>
    </font>
    <font>
      <sz val="11"/>
      <name val="Calibri"/>
      <family val="2"/>
      <scheme val="minor"/>
    </font>
    <font>
      <u/>
      <sz val="11"/>
      <color theme="1"/>
      <name val="Calibri"/>
      <family val="2"/>
      <scheme val="minor"/>
    </font>
    <font>
      <i/>
      <sz val="11"/>
      <name val="Calibri"/>
      <family val="2"/>
      <scheme val="minor"/>
    </font>
    <font>
      <i/>
      <sz val="14"/>
      <name val="Calibri"/>
      <family val="2"/>
      <scheme val="minor"/>
    </font>
    <font>
      <sz val="16"/>
      <color theme="1"/>
      <name val="Calibri"/>
      <family val="2"/>
      <scheme val="minor"/>
    </font>
    <font>
      <sz val="11"/>
      <color rgb="FFFFFF00"/>
      <name val="Calibri"/>
      <family val="2"/>
      <scheme val="minor"/>
    </font>
    <font>
      <b/>
      <i/>
      <sz val="11"/>
      <color theme="1"/>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tint="-0.249977111117893"/>
        <bgColor indexed="64"/>
      </patternFill>
    </fill>
    <fill>
      <patternFill patternType="solid">
        <fgColor rgb="FFFFFF00"/>
        <bgColor indexed="64"/>
      </patternFill>
    </fill>
  </fills>
  <borders count="41">
    <border>
      <left/>
      <right/>
      <top/>
      <bottom/>
      <diagonal/>
    </border>
    <border>
      <left/>
      <right/>
      <top/>
      <bottom style="thin">
        <color indexed="64"/>
      </bottom>
      <diagonal/>
    </border>
    <border>
      <left/>
      <right/>
      <top style="thin">
        <color indexed="64"/>
      </top>
      <bottom/>
      <diagonal/>
    </border>
    <border>
      <left/>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ck">
        <color auto="1"/>
      </bottom>
      <diagonal/>
    </border>
    <border>
      <left/>
      <right/>
      <top style="thick">
        <color auto="1"/>
      </top>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thin">
        <color auto="1"/>
      </bottom>
      <diagonal/>
    </border>
    <border>
      <left style="medium">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double">
        <color indexed="64"/>
      </bottom>
      <diagonal/>
    </border>
    <border>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s>
  <cellStyleXfs count="2">
    <xf numFmtId="0" fontId="0" fillId="0" borderId="0"/>
    <xf numFmtId="0" fontId="24" fillId="0" borderId="0" applyNumberFormat="0" applyFill="0" applyBorder="0" applyAlignment="0" applyProtection="0"/>
  </cellStyleXfs>
  <cellXfs count="263">
    <xf numFmtId="0" fontId="0" fillId="0" borderId="0" xfId="0"/>
    <xf numFmtId="0" fontId="0" fillId="0" borderId="0" xfId="0" applyProtection="1"/>
    <xf numFmtId="0" fontId="0" fillId="0" borderId="0" xfId="0" applyFill="1" applyBorder="1" applyAlignment="1" applyProtection="1">
      <alignment horizontal="center"/>
    </xf>
    <xf numFmtId="0" fontId="0" fillId="0" borderId="0" xfId="0" applyFill="1" applyBorder="1" applyAlignment="1" applyProtection="1">
      <alignment horizontal="right"/>
    </xf>
    <xf numFmtId="0" fontId="3" fillId="0" borderId="0" xfId="0" applyFont="1" applyProtection="1"/>
    <xf numFmtId="0" fontId="0" fillId="0" borderId="0" xfId="0" applyFont="1" applyProtection="1"/>
    <xf numFmtId="0" fontId="0" fillId="0" borderId="0" xfId="0" applyAlignment="1" applyProtection="1">
      <alignment horizontal="right"/>
    </xf>
    <xf numFmtId="0" fontId="0" fillId="0" borderId="0" xfId="0" applyAlignment="1" applyProtection="1">
      <alignment horizontal="left"/>
    </xf>
    <xf numFmtId="0" fontId="5" fillId="0" borderId="0" xfId="0" applyFont="1" applyAlignment="1" applyProtection="1">
      <alignment horizontal="left" vertical="center"/>
    </xf>
    <xf numFmtId="0" fontId="0" fillId="0" borderId="0" xfId="0" applyFill="1" applyProtection="1"/>
    <xf numFmtId="0" fontId="0" fillId="0" borderId="0" xfId="0" applyFill="1" applyBorder="1" applyProtection="1"/>
    <xf numFmtId="0" fontId="0" fillId="0" borderId="0" xfId="0" applyBorder="1" applyProtection="1"/>
    <xf numFmtId="0" fontId="2" fillId="0" borderId="0" xfId="0" applyFont="1" applyAlignment="1" applyProtection="1">
      <alignment horizontal="left"/>
    </xf>
    <xf numFmtId="0" fontId="0" fillId="0" borderId="0" xfId="0" applyFont="1" applyFill="1" applyBorder="1" applyAlignment="1" applyProtection="1"/>
    <xf numFmtId="0" fontId="1" fillId="0" borderId="0" xfId="0" applyFont="1" applyProtection="1"/>
    <xf numFmtId="0" fontId="1" fillId="0" borderId="0" xfId="0" applyFont="1" applyAlignment="1" applyProtection="1">
      <alignment horizontal="right"/>
    </xf>
    <xf numFmtId="0" fontId="1" fillId="0" borderId="0" xfId="0" applyFont="1" applyFill="1" applyBorder="1" applyAlignment="1" applyProtection="1">
      <alignment horizontal="right"/>
    </xf>
    <xf numFmtId="0" fontId="8" fillId="2" borderId="8" xfId="0" applyFont="1" applyFill="1" applyBorder="1" applyAlignment="1" applyProtection="1">
      <alignment horizontal="center" vertical="center"/>
      <protection locked="0"/>
    </xf>
    <xf numFmtId="0" fontId="8" fillId="0" borderId="0" xfId="0" applyFont="1" applyAlignment="1" applyProtection="1">
      <alignment horizontal="right"/>
    </xf>
    <xf numFmtId="0" fontId="3" fillId="0" borderId="0" xfId="0" applyFont="1" applyAlignment="1" applyProtection="1">
      <alignment horizontal="right"/>
    </xf>
    <xf numFmtId="0" fontId="8" fillId="0" borderId="0" xfId="0" applyFont="1" applyProtection="1"/>
    <xf numFmtId="0" fontId="16" fillId="0" borderId="0" xfId="0" applyFont="1" applyProtection="1"/>
    <xf numFmtId="0" fontId="0" fillId="0" borderId="0" xfId="0" applyFill="1" applyBorder="1" applyAlignment="1" applyProtection="1"/>
    <xf numFmtId="0" fontId="0" fillId="0" borderId="0" xfId="0" applyFill="1" applyAlignment="1" applyProtection="1">
      <alignment horizontal="right"/>
    </xf>
    <xf numFmtId="0" fontId="0" fillId="0" borderId="3" xfId="0" applyBorder="1" applyProtection="1"/>
    <xf numFmtId="0" fontId="0" fillId="0" borderId="3" xfId="0" applyBorder="1" applyAlignment="1" applyProtection="1">
      <alignment horizontal="right"/>
    </xf>
    <xf numFmtId="0" fontId="16" fillId="0" borderId="0" xfId="0" applyFont="1" applyAlignment="1" applyProtection="1">
      <alignment horizontal="left" vertical="center"/>
    </xf>
    <xf numFmtId="0" fontId="0" fillId="0" borderId="0" xfId="0" applyAlignment="1" applyProtection="1">
      <alignment horizontal="left" vertical="center"/>
    </xf>
    <xf numFmtId="0" fontId="3" fillId="0" borderId="0" xfId="0" applyFont="1" applyAlignment="1" applyProtection="1">
      <alignment horizontal="left" vertical="center"/>
    </xf>
    <xf numFmtId="0" fontId="0" fillId="0" borderId="0" xfId="0" applyFill="1" applyAlignment="1" applyProtection="1">
      <alignment horizontal="left" vertical="center"/>
    </xf>
    <xf numFmtId="0" fontId="3" fillId="0" borderId="0" xfId="0" applyFont="1" applyFill="1" applyAlignment="1" applyProtection="1">
      <alignment horizontal="left" vertical="center"/>
    </xf>
    <xf numFmtId="0" fontId="0" fillId="0" borderId="0" xfId="0" applyFill="1" applyBorder="1" applyAlignment="1" applyProtection="1">
      <alignment horizontal="left"/>
    </xf>
    <xf numFmtId="0" fontId="0" fillId="0" borderId="0" xfId="0" applyFill="1" applyAlignment="1" applyProtection="1">
      <alignment horizontal="left"/>
    </xf>
    <xf numFmtId="0" fontId="0" fillId="0" borderId="0" xfId="0" quotePrefix="1" applyAlignment="1" applyProtection="1">
      <alignment horizontal="left"/>
    </xf>
    <xf numFmtId="0" fontId="0" fillId="0" borderId="0" xfId="0" applyAlignment="1" applyProtection="1">
      <alignment horizontal="left" vertical="center" indent="2"/>
    </xf>
    <xf numFmtId="0" fontId="10" fillId="0" borderId="0" xfId="0" applyFont="1" applyAlignment="1" applyProtection="1">
      <alignment horizontal="left" vertical="center"/>
    </xf>
    <xf numFmtId="0" fontId="17" fillId="0" borderId="0" xfId="0" applyFont="1" applyAlignment="1" applyProtection="1">
      <alignment horizontal="left" vertical="center"/>
    </xf>
    <xf numFmtId="0" fontId="2" fillId="0"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0" fontId="0" fillId="0" borderId="9" xfId="0" applyFill="1" applyBorder="1" applyAlignment="1" applyProtection="1">
      <alignment horizontal="left"/>
    </xf>
    <xf numFmtId="0" fontId="0" fillId="0" borderId="2" xfId="0" applyFill="1" applyBorder="1" applyAlignment="1" applyProtection="1">
      <alignment horizontal="left"/>
    </xf>
    <xf numFmtId="0" fontId="2" fillId="0" borderId="0" xfId="0" applyFont="1" applyAlignment="1" applyProtection="1">
      <alignment horizontal="left" vertical="center"/>
    </xf>
    <xf numFmtId="0" fontId="0" fillId="0" borderId="0" xfId="0" applyAlignment="1" applyProtection="1">
      <alignment horizontal="right" vertical="center"/>
    </xf>
    <xf numFmtId="0" fontId="0" fillId="0" borderId="0" xfId="0" applyAlignment="1" applyProtection="1">
      <alignment horizontal="left" vertical="center" indent="15"/>
    </xf>
    <xf numFmtId="0" fontId="0" fillId="0" borderId="0" xfId="0" applyFill="1" applyBorder="1" applyAlignment="1" applyProtection="1">
      <alignment horizontal="left" vertical="top" wrapText="1"/>
    </xf>
    <xf numFmtId="0" fontId="0" fillId="0" borderId="6" xfId="0" applyBorder="1" applyProtection="1"/>
    <xf numFmtId="0" fontId="15" fillId="0" borderId="0" xfId="0" applyFont="1" applyFill="1" applyBorder="1" applyAlignment="1" applyProtection="1">
      <alignment horizontal="left"/>
    </xf>
    <xf numFmtId="0" fontId="1" fillId="0" borderId="0" xfId="0" applyFont="1" applyAlignment="1" applyProtection="1">
      <alignment horizontal="left" vertical="center"/>
    </xf>
    <xf numFmtId="0" fontId="0" fillId="0" borderId="0" xfId="0" applyFill="1" applyAlignment="1" applyProtection="1">
      <alignment horizontal="left" vertical="top"/>
    </xf>
    <xf numFmtId="0" fontId="2" fillId="0" borderId="0" xfId="0" applyFont="1" applyBorder="1" applyAlignment="1" applyProtection="1">
      <alignment horizontal="left" vertical="center"/>
    </xf>
    <xf numFmtId="0" fontId="9" fillId="0" borderId="0" xfId="0" applyFont="1" applyAlignment="1" applyProtection="1">
      <alignment horizontal="left" vertical="center"/>
    </xf>
    <xf numFmtId="0" fontId="1" fillId="0" borderId="0" xfId="0" applyFont="1" applyAlignment="1" applyProtection="1">
      <alignment horizontal="left"/>
    </xf>
    <xf numFmtId="0" fontId="11" fillId="0" borderId="0" xfId="0" applyFont="1" applyAlignment="1" applyProtection="1">
      <alignment horizontal="left" vertical="center"/>
    </xf>
    <xf numFmtId="0" fontId="0" fillId="0" borderId="0" xfId="0" applyFont="1" applyAlignment="1" applyProtection="1">
      <alignment horizontal="left" vertical="center"/>
    </xf>
    <xf numFmtId="0" fontId="0" fillId="0" borderId="14" xfId="0" applyBorder="1" applyAlignment="1" applyProtection="1">
      <alignment horizontal="left" vertical="center"/>
    </xf>
    <xf numFmtId="0" fontId="0" fillId="0" borderId="14" xfId="0" applyBorder="1" applyAlignment="1" applyProtection="1">
      <alignment horizontal="left"/>
    </xf>
    <xf numFmtId="0" fontId="12" fillId="0" borderId="0" xfId="0" applyFont="1" applyAlignment="1" applyProtection="1">
      <alignment horizontal="left" vertical="center"/>
    </xf>
    <xf numFmtId="0" fontId="0" fillId="2" borderId="10" xfId="0" applyFill="1" applyBorder="1" applyAlignment="1" applyProtection="1">
      <alignment horizontal="left" vertical="center"/>
      <protection locked="0"/>
    </xf>
    <xf numFmtId="0" fontId="0" fillId="2" borderId="11" xfId="0" applyFill="1" applyBorder="1" applyAlignment="1" applyProtection="1">
      <alignment horizontal="left"/>
      <protection locked="0"/>
    </xf>
    <xf numFmtId="0" fontId="0" fillId="2" borderId="12" xfId="0" applyFill="1" applyBorder="1" applyAlignment="1" applyProtection="1">
      <alignment horizontal="left" vertical="center"/>
      <protection locked="0"/>
    </xf>
    <xf numFmtId="0" fontId="0" fillId="2" borderId="8" xfId="0" applyFill="1" applyBorder="1" applyAlignment="1" applyProtection="1">
      <alignment horizontal="left"/>
      <protection locked="0"/>
    </xf>
    <xf numFmtId="0" fontId="15" fillId="0" borderId="0" xfId="0" applyFont="1" applyFill="1" applyBorder="1" applyAlignment="1" applyProtection="1">
      <alignment horizontal="center" vertical="center"/>
    </xf>
    <xf numFmtId="0" fontId="8" fillId="2" borderId="13" xfId="0" applyFont="1" applyFill="1" applyBorder="1" applyAlignment="1" applyProtection="1">
      <alignment horizontal="center" vertical="center"/>
      <protection locked="0"/>
    </xf>
    <xf numFmtId="0" fontId="0" fillId="2" borderId="20" xfId="0" applyFill="1" applyBorder="1" applyAlignment="1" applyProtection="1">
      <alignment horizontal="left"/>
      <protection locked="0"/>
    </xf>
    <xf numFmtId="0" fontId="0" fillId="2" borderId="21" xfId="0" applyFill="1" applyBorder="1" applyAlignment="1" applyProtection="1">
      <alignment horizontal="left"/>
      <protection locked="0"/>
    </xf>
    <xf numFmtId="0" fontId="0" fillId="2" borderId="22" xfId="0" applyFill="1" applyBorder="1" applyAlignment="1" applyProtection="1">
      <alignment horizontal="left" vertical="center"/>
      <protection locked="0"/>
    </xf>
    <xf numFmtId="0" fontId="0" fillId="2" borderId="23" xfId="0" applyFill="1" applyBorder="1" applyAlignment="1" applyProtection="1">
      <alignment horizontal="left"/>
      <protection locked="0"/>
    </xf>
    <xf numFmtId="0" fontId="0" fillId="2" borderId="24" xfId="0" applyFill="1" applyBorder="1" applyAlignment="1" applyProtection="1">
      <alignment horizontal="left"/>
      <protection locked="0"/>
    </xf>
    <xf numFmtId="0" fontId="7" fillId="0" borderId="0" xfId="0" applyFont="1" applyAlignment="1" applyProtection="1">
      <alignment horizontal="left" vertical="center"/>
    </xf>
    <xf numFmtId="166" fontId="10" fillId="2" borderId="25" xfId="0" applyNumberFormat="1" applyFont="1" applyFill="1" applyBorder="1" applyAlignment="1" applyProtection="1">
      <alignment horizontal="center" vertical="center"/>
      <protection locked="0"/>
    </xf>
    <xf numFmtId="166" fontId="10" fillId="2" borderId="26" xfId="0" applyNumberFormat="1" applyFont="1" applyFill="1" applyBorder="1" applyAlignment="1" applyProtection="1">
      <alignment horizontal="center" vertical="center"/>
      <protection locked="0"/>
    </xf>
    <xf numFmtId="166" fontId="10" fillId="2" borderId="27" xfId="0" applyNumberFormat="1" applyFont="1" applyFill="1" applyBorder="1" applyAlignment="1" applyProtection="1">
      <alignment horizontal="center" vertical="center"/>
      <protection locked="0"/>
    </xf>
    <xf numFmtId="0" fontId="0" fillId="0" borderId="0" xfId="0" applyAlignment="1" applyProtection="1"/>
    <xf numFmtId="0" fontId="0" fillId="0" borderId="0" xfId="0" quotePrefix="1" applyAlignment="1" applyProtection="1">
      <alignment horizontal="left" vertical="center" indent="5"/>
    </xf>
    <xf numFmtId="0" fontId="25" fillId="0" borderId="0" xfId="0" applyFont="1" applyAlignment="1" applyProtection="1">
      <alignment horizontal="right"/>
    </xf>
    <xf numFmtId="0" fontId="13" fillId="0" borderId="0" xfId="0" applyFont="1" applyAlignment="1" applyProtection="1">
      <alignment horizontal="right"/>
    </xf>
    <xf numFmtId="0" fontId="13" fillId="0" borderId="0" xfId="0" applyFont="1" applyAlignment="1" applyProtection="1"/>
    <xf numFmtId="0" fontId="23" fillId="0" borderId="0" xfId="0" applyFont="1" applyFill="1" applyBorder="1" applyAlignment="1" applyProtection="1">
      <alignment vertical="center"/>
    </xf>
    <xf numFmtId="0" fontId="12" fillId="0" borderId="0" xfId="0" applyFont="1" applyProtection="1"/>
    <xf numFmtId="0" fontId="23" fillId="0" borderId="0" xfId="0" applyFont="1" applyFill="1" applyBorder="1" applyAlignment="1" applyProtection="1"/>
    <xf numFmtId="0" fontId="2" fillId="0" borderId="0" xfId="0" applyFont="1" applyAlignment="1" applyProtection="1"/>
    <xf numFmtId="3" fontId="0" fillId="0" borderId="0" xfId="0" applyNumberFormat="1" applyBorder="1" applyAlignment="1" applyProtection="1"/>
    <xf numFmtId="4" fontId="0" fillId="0" borderId="0" xfId="0" applyNumberFormat="1" applyProtection="1"/>
    <xf numFmtId="3" fontId="1" fillId="0" borderId="0" xfId="0" applyNumberFormat="1" applyFont="1" applyBorder="1" applyAlignment="1" applyProtection="1"/>
    <xf numFmtId="4" fontId="1" fillId="0" borderId="0" xfId="0" applyNumberFormat="1" applyFont="1" applyBorder="1" applyProtection="1"/>
    <xf numFmtId="0" fontId="0" fillId="0" borderId="0" xfId="0" applyBorder="1" applyAlignment="1" applyProtection="1">
      <alignment horizontal="center"/>
    </xf>
    <xf numFmtId="3" fontId="0" fillId="0" borderId="0" xfId="0" applyNumberFormat="1" applyProtection="1"/>
    <xf numFmtId="4" fontId="1" fillId="0" borderId="0" xfId="0" applyNumberFormat="1" applyFont="1" applyProtection="1"/>
    <xf numFmtId="164" fontId="0" fillId="0" borderId="0" xfId="0" applyNumberFormat="1" applyFont="1" applyFill="1" applyBorder="1" applyAlignment="1" applyProtection="1">
      <alignment horizontal="center"/>
    </xf>
    <xf numFmtId="0" fontId="0" fillId="0" borderId="0" xfId="0" applyBorder="1" applyAlignment="1" applyProtection="1">
      <alignment horizontal="right"/>
    </xf>
    <xf numFmtId="4" fontId="0" fillId="0" borderId="2" xfId="0" applyNumberFormat="1" applyBorder="1" applyProtection="1"/>
    <xf numFmtId="0" fontId="1" fillId="0" borderId="0" xfId="0" applyFont="1" applyBorder="1" applyAlignment="1" applyProtection="1"/>
    <xf numFmtId="165" fontId="1" fillId="0" borderId="0" xfId="0" applyNumberFormat="1" applyFont="1" applyBorder="1" applyAlignment="1" applyProtection="1">
      <alignment horizontal="right"/>
    </xf>
    <xf numFmtId="0" fontId="0" fillId="0" borderId="0" xfId="0" applyFont="1" applyFill="1" applyBorder="1" applyAlignment="1" applyProtection="1">
      <alignment horizontal="right"/>
    </xf>
    <xf numFmtId="166" fontId="10" fillId="0" borderId="0" xfId="0" applyNumberFormat="1" applyFont="1" applyFill="1" applyBorder="1" applyAlignment="1" applyProtection="1">
      <alignment horizontal="center" vertical="center"/>
      <protection locked="0"/>
    </xf>
    <xf numFmtId="0" fontId="12" fillId="0" borderId="4" xfId="0" applyFont="1" applyFill="1" applyBorder="1" applyAlignment="1" applyProtection="1">
      <alignment horizontal="center"/>
    </xf>
    <xf numFmtId="0" fontId="12" fillId="0" borderId="2" xfId="0" applyFont="1" applyFill="1" applyBorder="1" applyAlignment="1" applyProtection="1">
      <alignment horizontal="center"/>
    </xf>
    <xf numFmtId="0" fontId="12" fillId="0" borderId="34" xfId="0" applyFont="1" applyFill="1" applyBorder="1" applyAlignment="1" applyProtection="1">
      <alignment horizontal="center"/>
    </xf>
    <xf numFmtId="0" fontId="8" fillId="0" borderId="35" xfId="0" applyFont="1" applyFill="1" applyBorder="1" applyProtection="1"/>
    <xf numFmtId="0" fontId="1" fillId="0" borderId="36" xfId="0" applyFont="1" applyBorder="1" applyProtection="1"/>
    <xf numFmtId="0" fontId="8" fillId="0" borderId="36" xfId="0" applyFont="1" applyFill="1" applyBorder="1" applyProtection="1"/>
    <xf numFmtId="0" fontId="1" fillId="0" borderId="37" xfId="0" applyFont="1" applyBorder="1" applyProtection="1"/>
    <xf numFmtId="0" fontId="0" fillId="0" borderId="5" xfId="0" applyBorder="1" applyProtection="1"/>
    <xf numFmtId="0" fontId="1" fillId="0" borderId="5" xfId="0" applyFont="1" applyBorder="1" applyProtection="1"/>
    <xf numFmtId="0" fontId="1" fillId="0" borderId="0" xfId="0" applyFont="1" applyBorder="1" applyProtection="1"/>
    <xf numFmtId="0" fontId="1" fillId="0" borderId="6" xfId="0" applyFont="1" applyBorder="1" applyProtection="1"/>
    <xf numFmtId="3" fontId="1" fillId="0" borderId="5" xfId="0" applyNumberFormat="1" applyFont="1" applyBorder="1" applyAlignment="1" applyProtection="1">
      <alignment horizontal="center" vertical="center"/>
    </xf>
    <xf numFmtId="3" fontId="1" fillId="0" borderId="0" xfId="0" applyNumberFormat="1" applyFont="1" applyBorder="1" applyAlignment="1" applyProtection="1">
      <alignment horizontal="center" vertical="center"/>
    </xf>
    <xf numFmtId="3" fontId="1" fillId="0" borderId="6" xfId="0" applyNumberFormat="1" applyFont="1" applyBorder="1" applyAlignment="1" applyProtection="1">
      <alignment horizontal="center" vertical="center"/>
    </xf>
    <xf numFmtId="0" fontId="1" fillId="0" borderId="5" xfId="0" applyFont="1" applyBorder="1" applyAlignment="1" applyProtection="1">
      <alignment horizontal="left" vertical="center"/>
    </xf>
    <xf numFmtId="0" fontId="1" fillId="0" borderId="0" xfId="0" applyFont="1" applyBorder="1" applyAlignment="1" applyProtection="1">
      <alignment horizontal="center" vertical="center"/>
    </xf>
    <xf numFmtId="0" fontId="1" fillId="0" borderId="6" xfId="0" applyFont="1" applyBorder="1" applyAlignment="1" applyProtection="1">
      <alignment horizontal="center" vertical="center"/>
    </xf>
    <xf numFmtId="164" fontId="1" fillId="0" borderId="5" xfId="0" applyNumberFormat="1" applyFont="1" applyBorder="1" applyAlignment="1" applyProtection="1">
      <alignment horizontal="center" vertical="center"/>
    </xf>
    <xf numFmtId="164" fontId="1" fillId="0" borderId="0" xfId="0" applyNumberFormat="1" applyFont="1" applyBorder="1" applyAlignment="1" applyProtection="1">
      <alignment horizontal="center" vertical="center"/>
    </xf>
    <xf numFmtId="164" fontId="1" fillId="0" borderId="6" xfId="0" applyNumberFormat="1" applyFont="1" applyBorder="1" applyAlignment="1" applyProtection="1">
      <alignment horizontal="center" vertical="center"/>
    </xf>
    <xf numFmtId="0" fontId="1" fillId="0" borderId="0" xfId="0" applyFont="1" applyAlignment="1" applyProtection="1">
      <alignment horizontal="center" vertical="center"/>
    </xf>
    <xf numFmtId="0" fontId="0" fillId="0" borderId="32" xfId="0" applyBorder="1" applyProtection="1"/>
    <xf numFmtId="0" fontId="0" fillId="0" borderId="1" xfId="0" applyBorder="1" applyProtection="1"/>
    <xf numFmtId="0" fontId="0" fillId="0" borderId="33" xfId="0" applyBorder="1" applyProtection="1"/>
    <xf numFmtId="14" fontId="0" fillId="0" borderId="0" xfId="0" applyNumberFormat="1" applyFill="1" applyBorder="1" applyAlignment="1" applyProtection="1">
      <alignment horizontal="center"/>
    </xf>
    <xf numFmtId="0" fontId="0" fillId="0" borderId="0" xfId="0" quotePrefix="1" applyFill="1" applyBorder="1" applyAlignment="1" applyProtection="1">
      <alignment horizontal="center"/>
    </xf>
    <xf numFmtId="0" fontId="0" fillId="0" borderId="0" xfId="0" applyFont="1" applyFill="1" applyBorder="1" applyAlignment="1" applyProtection="1">
      <alignment horizontal="center"/>
    </xf>
    <xf numFmtId="0" fontId="0" fillId="0" borderId="0" xfId="0" applyAlignment="1" applyProtection="1">
      <alignment horizontal="left" vertical="center" wrapText="1"/>
    </xf>
    <xf numFmtId="0" fontId="0" fillId="0" borderId="0" xfId="0" applyAlignment="1" applyProtection="1">
      <alignment horizontal="center"/>
    </xf>
    <xf numFmtId="3" fontId="1" fillId="0" borderId="0" xfId="0" applyNumberFormat="1" applyFont="1" applyBorder="1" applyAlignment="1" applyProtection="1">
      <alignment horizontal="center"/>
    </xf>
    <xf numFmtId="164" fontId="1" fillId="0" borderId="0" xfId="0" applyNumberFormat="1" applyFont="1" applyBorder="1" applyAlignment="1" applyProtection="1">
      <alignment horizontal="right"/>
    </xf>
    <xf numFmtId="164" fontId="1" fillId="0" borderId="0" xfId="0" applyNumberFormat="1" applyFont="1" applyProtection="1"/>
    <xf numFmtId="0" fontId="0" fillId="0" borderId="0" xfId="0" applyProtection="1">
      <protection locked="0"/>
    </xf>
    <xf numFmtId="0" fontId="8" fillId="0" borderId="0" xfId="0" applyFont="1" applyFill="1" applyBorder="1" applyAlignment="1" applyProtection="1">
      <alignment horizontal="center" vertical="center"/>
      <protection locked="0"/>
    </xf>
    <xf numFmtId="0" fontId="33" fillId="0" borderId="0" xfId="0" applyFont="1" applyProtection="1"/>
    <xf numFmtId="0" fontId="0" fillId="0" borderId="0" xfId="0" applyAlignment="1" applyProtection="1">
      <alignment horizontal="center" vertical="center"/>
    </xf>
    <xf numFmtId="0" fontId="2" fillId="0" borderId="35" xfId="0" applyFont="1" applyBorder="1" applyAlignment="1" applyProtection="1">
      <alignment horizontal="left" vertical="center"/>
    </xf>
    <xf numFmtId="0" fontId="0" fillId="0" borderId="35" xfId="0" applyBorder="1" applyAlignment="1" applyProtection="1">
      <alignment horizontal="center" vertical="center"/>
    </xf>
    <xf numFmtId="0" fontId="0" fillId="0" borderId="36" xfId="0" applyBorder="1" applyAlignment="1" applyProtection="1">
      <alignment horizontal="center" vertical="center"/>
    </xf>
    <xf numFmtId="0" fontId="0" fillId="0" borderId="36" xfId="0" applyFont="1" applyFill="1" applyBorder="1" applyAlignment="1" applyProtection="1">
      <alignment horizontal="center" vertical="center"/>
    </xf>
    <xf numFmtId="166" fontId="10" fillId="2" borderId="38" xfId="0" applyNumberFormat="1" applyFont="1" applyFill="1" applyBorder="1" applyAlignment="1" applyProtection="1">
      <alignment horizontal="center" vertical="center"/>
      <protection locked="0"/>
    </xf>
    <xf numFmtId="166" fontId="10" fillId="2" borderId="39" xfId="0" applyNumberFormat="1" applyFont="1" applyFill="1" applyBorder="1" applyAlignment="1" applyProtection="1">
      <alignment horizontal="center" vertical="center"/>
      <protection locked="0"/>
    </xf>
    <xf numFmtId="166" fontId="10" fillId="2" borderId="40" xfId="0" applyNumberFormat="1" applyFont="1" applyFill="1" applyBorder="1" applyAlignment="1" applyProtection="1">
      <alignment horizontal="center" vertical="center"/>
      <protection locked="0"/>
    </xf>
    <xf numFmtId="0" fontId="32" fillId="3" borderId="0" xfId="0" applyFont="1" applyFill="1" applyAlignment="1" applyProtection="1">
      <alignment horizontal="center"/>
    </xf>
    <xf numFmtId="0" fontId="0" fillId="4" borderId="28" xfId="0" applyFill="1" applyBorder="1" applyAlignment="1" applyProtection="1">
      <alignment horizontal="center"/>
    </xf>
    <xf numFmtId="0" fontId="0" fillId="4" borderId="9" xfId="0" applyFill="1" applyBorder="1" applyAlignment="1" applyProtection="1">
      <alignment horizontal="center"/>
    </xf>
    <xf numFmtId="0" fontId="0" fillId="4" borderId="29" xfId="0" applyFill="1" applyBorder="1" applyAlignment="1" applyProtection="1">
      <alignment horizontal="center"/>
    </xf>
    <xf numFmtId="0" fontId="23" fillId="2" borderId="1" xfId="0" applyFont="1" applyFill="1" applyBorder="1" applyAlignment="1" applyProtection="1">
      <alignment horizontal="left" vertical="center"/>
      <protection locked="0"/>
    </xf>
    <xf numFmtId="0" fontId="14" fillId="0" borderId="0" xfId="0" applyFont="1" applyAlignment="1" applyProtection="1">
      <alignment horizontal="center" vertical="top"/>
    </xf>
    <xf numFmtId="0" fontId="6" fillId="0" borderId="7" xfId="0" applyFont="1" applyBorder="1" applyAlignment="1" applyProtection="1">
      <alignment horizontal="center" vertical="center"/>
    </xf>
    <xf numFmtId="0" fontId="24" fillId="2" borderId="0" xfId="1" applyFont="1" applyFill="1" applyBorder="1" applyAlignment="1" applyProtection="1">
      <alignment horizontal="center" vertical="center"/>
      <protection locked="0"/>
    </xf>
    <xf numFmtId="0" fontId="19" fillId="2" borderId="4" xfId="0" applyFont="1" applyFill="1" applyBorder="1" applyAlignment="1" applyProtection="1">
      <alignment horizontal="left" vertical="top" wrapText="1"/>
      <protection locked="0"/>
    </xf>
    <xf numFmtId="0" fontId="19" fillId="2" borderId="2" xfId="0" applyFont="1" applyFill="1" applyBorder="1" applyAlignment="1" applyProtection="1">
      <alignment horizontal="left" vertical="top" wrapText="1"/>
      <protection locked="0"/>
    </xf>
    <xf numFmtId="0" fontId="19" fillId="2" borderId="16" xfId="0" applyFont="1" applyFill="1" applyBorder="1" applyAlignment="1" applyProtection="1">
      <alignment horizontal="left" vertical="top" wrapText="1"/>
      <protection locked="0"/>
    </xf>
    <xf numFmtId="0" fontId="19" fillId="2" borderId="5" xfId="0" applyFont="1" applyFill="1" applyBorder="1" applyAlignment="1" applyProtection="1">
      <alignment horizontal="left" vertical="top" wrapText="1"/>
      <protection locked="0"/>
    </xf>
    <xf numFmtId="0" fontId="19" fillId="2" borderId="0" xfId="0" applyFont="1" applyFill="1" applyBorder="1" applyAlignment="1" applyProtection="1">
      <alignment horizontal="left" vertical="top" wrapText="1"/>
      <protection locked="0"/>
    </xf>
    <xf numFmtId="0" fontId="19" fillId="2" borderId="17" xfId="0" applyFont="1" applyFill="1" applyBorder="1" applyAlignment="1" applyProtection="1">
      <alignment horizontal="left" vertical="top" wrapText="1"/>
      <protection locked="0"/>
    </xf>
    <xf numFmtId="0" fontId="19" fillId="2" borderId="18" xfId="0" applyFont="1" applyFill="1" applyBorder="1" applyAlignment="1" applyProtection="1">
      <alignment horizontal="left" vertical="top" wrapText="1"/>
      <protection locked="0"/>
    </xf>
    <xf numFmtId="0" fontId="19" fillId="2" borderId="7" xfId="0" applyFont="1" applyFill="1" applyBorder="1" applyAlignment="1" applyProtection="1">
      <alignment horizontal="left" vertical="top" wrapText="1"/>
      <protection locked="0"/>
    </xf>
    <xf numFmtId="0" fontId="19" fillId="2" borderId="19" xfId="0" applyFont="1" applyFill="1" applyBorder="1" applyAlignment="1" applyProtection="1">
      <alignment horizontal="left" vertical="top" wrapText="1"/>
      <protection locked="0"/>
    </xf>
    <xf numFmtId="0" fontId="23" fillId="2" borderId="1" xfId="0" applyNumberFormat="1" applyFont="1" applyFill="1" applyBorder="1" applyAlignment="1" applyProtection="1">
      <alignment horizontal="center" vertical="center"/>
      <protection locked="0"/>
    </xf>
    <xf numFmtId="0" fontId="19" fillId="2" borderId="1" xfId="0" applyFont="1" applyFill="1" applyBorder="1" applyAlignment="1" applyProtection="1">
      <alignment horizontal="center" vertical="center"/>
      <protection locked="0"/>
    </xf>
    <xf numFmtId="0" fontId="29" fillId="2" borderId="1" xfId="0" applyFont="1" applyFill="1" applyBorder="1" applyAlignment="1" applyProtection="1">
      <alignment horizontal="center" vertical="center"/>
      <protection locked="0"/>
    </xf>
    <xf numFmtId="0" fontId="10" fillId="2" borderId="1" xfId="0" applyFont="1" applyFill="1" applyBorder="1" applyAlignment="1" applyProtection="1">
      <alignment horizontal="center" vertical="center"/>
      <protection locked="0"/>
    </xf>
    <xf numFmtId="0" fontId="0" fillId="0" borderId="0" xfId="0" applyAlignment="1" applyProtection="1">
      <alignment horizontal="left" vertical="top" wrapText="1"/>
    </xf>
    <xf numFmtId="0" fontId="9" fillId="2" borderId="4" xfId="0" applyFont="1" applyFill="1" applyBorder="1" applyAlignment="1" applyProtection="1">
      <alignment horizontal="left" vertical="top" wrapText="1"/>
      <protection locked="0"/>
    </xf>
    <xf numFmtId="0" fontId="9" fillId="2" borderId="2" xfId="0" applyFont="1" applyFill="1" applyBorder="1" applyAlignment="1" applyProtection="1">
      <alignment horizontal="left" vertical="top" wrapText="1"/>
      <protection locked="0"/>
    </xf>
    <xf numFmtId="0" fontId="9" fillId="2" borderId="16" xfId="0" applyFont="1" applyFill="1" applyBorder="1" applyAlignment="1" applyProtection="1">
      <alignment horizontal="left" vertical="top" wrapText="1"/>
      <protection locked="0"/>
    </xf>
    <xf numFmtId="0" fontId="9" fillId="2" borderId="5" xfId="0" applyFont="1" applyFill="1" applyBorder="1" applyAlignment="1" applyProtection="1">
      <alignment horizontal="left" vertical="top" wrapText="1"/>
      <protection locked="0"/>
    </xf>
    <xf numFmtId="0" fontId="9" fillId="2" borderId="0" xfId="0" applyFont="1" applyFill="1" applyBorder="1" applyAlignment="1" applyProtection="1">
      <alignment horizontal="left" vertical="top" wrapText="1"/>
      <protection locked="0"/>
    </xf>
    <xf numFmtId="0" fontId="9" fillId="2" borderId="17" xfId="0" applyFont="1" applyFill="1" applyBorder="1" applyAlignment="1" applyProtection="1">
      <alignment horizontal="left" vertical="top" wrapText="1"/>
      <protection locked="0"/>
    </xf>
    <xf numFmtId="0" fontId="9" fillId="2" borderId="18" xfId="0" applyFont="1" applyFill="1" applyBorder="1" applyAlignment="1" applyProtection="1">
      <alignment horizontal="left" vertical="top" wrapText="1"/>
      <protection locked="0"/>
    </xf>
    <xf numFmtId="0" fontId="9" fillId="2" borderId="7" xfId="0" applyFont="1" applyFill="1" applyBorder="1" applyAlignment="1" applyProtection="1">
      <alignment horizontal="left" vertical="top" wrapText="1"/>
      <protection locked="0"/>
    </xf>
    <xf numFmtId="0" fontId="9" fillId="2" borderId="19" xfId="0" applyFont="1" applyFill="1" applyBorder="1" applyAlignment="1" applyProtection="1">
      <alignment horizontal="left" vertical="top" wrapText="1"/>
      <protection locked="0"/>
    </xf>
    <xf numFmtId="0" fontId="19" fillId="2" borderId="1" xfId="0" applyFont="1" applyFill="1" applyBorder="1" applyAlignment="1" applyProtection="1">
      <alignment horizontal="left" vertical="center"/>
      <protection locked="0"/>
    </xf>
    <xf numFmtId="0" fontId="0" fillId="2" borderId="1" xfId="0" applyFont="1" applyFill="1" applyBorder="1" applyAlignment="1" applyProtection="1">
      <alignment horizontal="center"/>
      <protection locked="0"/>
    </xf>
    <xf numFmtId="0" fontId="0" fillId="0" borderId="0" xfId="0" applyAlignment="1" applyProtection="1">
      <alignment horizontal="left" vertical="center" wrapText="1"/>
    </xf>
    <xf numFmtId="0" fontId="23" fillId="0" borderId="1" xfId="0" applyFont="1" applyFill="1" applyBorder="1" applyAlignment="1" applyProtection="1">
      <alignment horizontal="left" vertical="center"/>
    </xf>
    <xf numFmtId="0" fontId="0" fillId="0" borderId="0" xfId="0" applyFont="1" applyFill="1" applyBorder="1" applyAlignment="1" applyProtection="1">
      <alignment horizontal="center"/>
    </xf>
    <xf numFmtId="0" fontId="29" fillId="2" borderId="1" xfId="1" applyFont="1" applyFill="1" applyBorder="1" applyAlignment="1" applyProtection="1">
      <alignment horizontal="center" vertical="center"/>
      <protection locked="0"/>
    </xf>
    <xf numFmtId="0" fontId="30" fillId="2" borderId="1" xfId="0" applyFont="1" applyFill="1" applyBorder="1" applyAlignment="1" applyProtection="1">
      <alignment horizontal="center" vertical="center"/>
      <protection locked="0"/>
    </xf>
    <xf numFmtId="0" fontId="23" fillId="0" borderId="1" xfId="0" applyNumberFormat="1" applyFont="1" applyFill="1" applyBorder="1" applyAlignment="1" applyProtection="1">
      <alignment horizontal="center" vertical="center"/>
    </xf>
    <xf numFmtId="0" fontId="1" fillId="0" borderId="0" xfId="0" applyFont="1" applyAlignment="1" applyProtection="1">
      <alignment horizontal="left" vertical="center" wrapText="1"/>
    </xf>
    <xf numFmtId="0" fontId="19" fillId="0" borderId="1" xfId="0" applyFont="1" applyFill="1" applyBorder="1" applyAlignment="1" applyProtection="1">
      <alignment horizontal="center" vertical="center"/>
    </xf>
    <xf numFmtId="8" fontId="0" fillId="0" borderId="0" xfId="0" applyNumberFormat="1" applyAlignment="1" applyProtection="1">
      <alignment horizontal="center"/>
    </xf>
    <xf numFmtId="0" fontId="9" fillId="0" borderId="0" xfId="0" applyFont="1" applyFill="1" applyBorder="1" applyAlignment="1" applyProtection="1">
      <alignment horizontal="center"/>
    </xf>
    <xf numFmtId="0" fontId="3" fillId="0" borderId="1" xfId="0" applyFont="1" applyFill="1" applyBorder="1" applyAlignment="1" applyProtection="1">
      <alignment horizontal="center"/>
    </xf>
    <xf numFmtId="3" fontId="0" fillId="0" borderId="0" xfId="0" applyNumberFormat="1" applyBorder="1" applyAlignment="1" applyProtection="1">
      <alignment horizontal="right"/>
    </xf>
    <xf numFmtId="3" fontId="27" fillId="2" borderId="1" xfId="0" applyNumberFormat="1" applyFont="1" applyFill="1" applyBorder="1" applyAlignment="1" applyProtection="1">
      <alignment horizontal="center"/>
      <protection locked="0"/>
    </xf>
    <xf numFmtId="3" fontId="0" fillId="2" borderId="1" xfId="0" applyNumberFormat="1" applyFill="1" applyBorder="1" applyAlignment="1" applyProtection="1">
      <alignment horizontal="center"/>
      <protection locked="0"/>
    </xf>
    <xf numFmtId="164" fontId="1" fillId="2" borderId="1" xfId="0" applyNumberFormat="1" applyFont="1" applyFill="1" applyBorder="1" applyAlignment="1" applyProtection="1">
      <alignment horizontal="right"/>
      <protection locked="0"/>
    </xf>
    <xf numFmtId="3" fontId="1" fillId="0" borderId="30" xfId="0" applyNumberFormat="1" applyFont="1" applyFill="1" applyBorder="1" applyAlignment="1" applyProtection="1">
      <alignment horizontal="center"/>
    </xf>
    <xf numFmtId="3" fontId="1" fillId="0" borderId="30" xfId="0" applyNumberFormat="1" applyFont="1" applyBorder="1" applyAlignment="1" applyProtection="1">
      <alignment horizontal="right"/>
    </xf>
    <xf numFmtId="0" fontId="2" fillId="0" borderId="0" xfId="0" applyFont="1" applyAlignment="1" applyProtection="1">
      <alignment horizontal="center"/>
    </xf>
    <xf numFmtId="164" fontId="1" fillId="0" borderId="1" xfId="0" applyNumberFormat="1" applyFont="1" applyBorder="1" applyAlignment="1" applyProtection="1">
      <alignment horizontal="right"/>
    </xf>
    <xf numFmtId="0" fontId="0" fillId="0" borderId="1" xfId="0" applyFill="1" applyBorder="1" applyAlignment="1" applyProtection="1">
      <alignment horizontal="center"/>
    </xf>
    <xf numFmtId="9" fontId="23" fillId="2" borderId="1" xfId="0" applyNumberFormat="1" applyFont="1" applyFill="1" applyBorder="1" applyAlignment="1" applyProtection="1">
      <alignment horizontal="center"/>
      <protection locked="0"/>
    </xf>
    <xf numFmtId="0" fontId="23" fillId="2" borderId="1" xfId="0" applyFont="1" applyFill="1" applyBorder="1" applyAlignment="1" applyProtection="1">
      <alignment horizontal="center"/>
      <protection locked="0"/>
    </xf>
    <xf numFmtId="164" fontId="0" fillId="0" borderId="1" xfId="0" applyNumberFormat="1" applyFill="1" applyBorder="1" applyAlignment="1" applyProtection="1">
      <alignment horizontal="right"/>
    </xf>
    <xf numFmtId="164" fontId="0" fillId="0" borderId="1" xfId="0" applyNumberFormat="1" applyBorder="1" applyAlignment="1" applyProtection="1">
      <alignment horizontal="right"/>
    </xf>
    <xf numFmtId="3" fontId="1" fillId="0" borderId="0" xfId="0" applyNumberFormat="1" applyFont="1" applyBorder="1" applyAlignment="1" applyProtection="1">
      <alignment horizontal="center"/>
    </xf>
    <xf numFmtId="164" fontId="1" fillId="0" borderId="35" xfId="0" applyNumberFormat="1" applyFont="1" applyBorder="1" applyAlignment="1" applyProtection="1">
      <alignment horizontal="right"/>
    </xf>
    <xf numFmtId="164" fontId="1" fillId="0" borderId="36" xfId="0" applyNumberFormat="1" applyFont="1" applyBorder="1" applyAlignment="1" applyProtection="1">
      <alignment horizontal="right"/>
    </xf>
    <xf numFmtId="164" fontId="1" fillId="0" borderId="37" xfId="0" applyNumberFormat="1" applyFont="1" applyBorder="1" applyAlignment="1" applyProtection="1">
      <alignment horizontal="right"/>
    </xf>
    <xf numFmtId="0" fontId="6" fillId="0" borderId="15" xfId="0" applyFont="1" applyBorder="1" applyAlignment="1" applyProtection="1">
      <alignment horizontal="center" vertical="center"/>
    </xf>
    <xf numFmtId="164" fontId="1" fillId="0" borderId="30" xfId="0" applyNumberFormat="1" applyFont="1" applyFill="1" applyBorder="1" applyAlignment="1" applyProtection="1">
      <alignment horizontal="right"/>
    </xf>
    <xf numFmtId="3" fontId="0" fillId="0" borderId="1" xfId="0" applyNumberFormat="1" applyBorder="1" applyAlignment="1" applyProtection="1">
      <alignment horizontal="right"/>
    </xf>
    <xf numFmtId="0" fontId="23" fillId="0" borderId="1" xfId="0" applyNumberFormat="1" applyFont="1" applyFill="1" applyBorder="1" applyAlignment="1" applyProtection="1">
      <alignment horizontal="left"/>
    </xf>
    <xf numFmtId="0" fontId="23" fillId="0" borderId="1" xfId="0" applyFont="1" applyFill="1" applyBorder="1" applyAlignment="1" applyProtection="1">
      <alignment horizontal="center"/>
    </xf>
    <xf numFmtId="4" fontId="0" fillId="0" borderId="1" xfId="0" applyNumberFormat="1" applyBorder="1" applyAlignment="1" applyProtection="1">
      <alignment horizontal="right"/>
    </xf>
    <xf numFmtId="4" fontId="0" fillId="0" borderId="0" xfId="0" applyNumberFormat="1" applyBorder="1" applyAlignment="1" applyProtection="1">
      <alignment horizontal="right"/>
    </xf>
    <xf numFmtId="0" fontId="0" fillId="0" borderId="0" xfId="0" applyAlignment="1" applyProtection="1">
      <alignment horizontal="center"/>
    </xf>
    <xf numFmtId="3" fontId="0" fillId="2" borderId="0" xfId="0" applyNumberFormat="1" applyFill="1" applyBorder="1" applyAlignment="1" applyProtection="1">
      <alignment horizontal="center"/>
      <protection locked="0"/>
    </xf>
    <xf numFmtId="164" fontId="0" fillId="2" borderId="28" xfId="0" applyNumberFormat="1" applyFill="1" applyBorder="1" applyAlignment="1" applyProtection="1">
      <alignment horizontal="center"/>
    </xf>
    <xf numFmtId="164" fontId="0" fillId="2" borderId="29" xfId="0" applyNumberFormat="1" applyFill="1" applyBorder="1" applyAlignment="1" applyProtection="1">
      <alignment horizontal="center"/>
    </xf>
    <xf numFmtId="164" fontId="0" fillId="0" borderId="1" xfId="0" applyNumberFormat="1" applyBorder="1" applyAlignment="1" applyProtection="1">
      <alignment horizontal="center"/>
    </xf>
    <xf numFmtId="4" fontId="0" fillId="0" borderId="9" xfId="0" applyNumberFormat="1" applyBorder="1" applyAlignment="1" applyProtection="1">
      <alignment horizontal="center"/>
    </xf>
    <xf numFmtId="4" fontId="0" fillId="0" borderId="31" xfId="0" applyNumberFormat="1" applyBorder="1" applyAlignment="1" applyProtection="1">
      <alignment horizontal="center"/>
    </xf>
    <xf numFmtId="4" fontId="1" fillId="0" borderId="3" xfId="0" applyNumberFormat="1" applyFont="1" applyBorder="1" applyAlignment="1" applyProtection="1">
      <alignment horizontal="center"/>
    </xf>
    <xf numFmtId="164" fontId="27" fillId="0" borderId="1" xfId="0" applyNumberFormat="1" applyFont="1" applyFill="1" applyBorder="1" applyAlignment="1" applyProtection="1">
      <alignment horizontal="center"/>
    </xf>
    <xf numFmtId="0" fontId="0" fillId="2" borderId="28" xfId="0" applyFill="1" applyBorder="1" applyAlignment="1" applyProtection="1">
      <alignment horizontal="center"/>
    </xf>
    <xf numFmtId="0" fontId="0" fillId="2" borderId="29" xfId="0" applyFill="1" applyBorder="1" applyAlignment="1" applyProtection="1">
      <alignment horizontal="center"/>
    </xf>
    <xf numFmtId="8" fontId="0" fillId="2" borderId="28" xfId="0" applyNumberFormat="1" applyFill="1" applyBorder="1" applyAlignment="1" applyProtection="1">
      <alignment horizontal="center"/>
    </xf>
    <xf numFmtId="8" fontId="0" fillId="2" borderId="9" xfId="0" applyNumberFormat="1" applyFill="1" applyBorder="1" applyAlignment="1" applyProtection="1">
      <alignment horizontal="center"/>
    </xf>
    <xf numFmtId="8" fontId="0" fillId="2" borderId="29" xfId="0" applyNumberFormat="1" applyFill="1" applyBorder="1" applyAlignment="1" applyProtection="1">
      <alignment horizontal="center"/>
    </xf>
    <xf numFmtId="0" fontId="12" fillId="0" borderId="28" xfId="0" applyFont="1" applyFill="1" applyBorder="1" applyAlignment="1" applyProtection="1">
      <alignment horizontal="center"/>
    </xf>
    <xf numFmtId="0" fontId="12" fillId="0" borderId="9" xfId="0" applyFont="1" applyFill="1" applyBorder="1" applyAlignment="1" applyProtection="1">
      <alignment horizontal="center"/>
    </xf>
    <xf numFmtId="0" fontId="12" fillId="0" borderId="29" xfId="0" applyFont="1" applyFill="1" applyBorder="1" applyAlignment="1" applyProtection="1">
      <alignment horizontal="center"/>
    </xf>
    <xf numFmtId="14" fontId="0" fillId="0" borderId="32" xfId="0" applyNumberFormat="1" applyFill="1" applyBorder="1" applyAlignment="1" applyProtection="1">
      <alignment horizontal="center"/>
    </xf>
    <xf numFmtId="0" fontId="0" fillId="0" borderId="33" xfId="0" applyFill="1" applyBorder="1" applyAlignment="1" applyProtection="1">
      <alignment horizontal="center"/>
    </xf>
    <xf numFmtId="0" fontId="0" fillId="0" borderId="32" xfId="0" quotePrefix="1" applyFill="1" applyBorder="1" applyAlignment="1" applyProtection="1">
      <alignment horizontal="center"/>
    </xf>
    <xf numFmtId="0" fontId="12" fillId="0" borderId="4" xfId="0" applyFont="1" applyFill="1" applyBorder="1" applyAlignment="1" applyProtection="1">
      <alignment horizontal="center"/>
    </xf>
    <xf numFmtId="0" fontId="12" fillId="0" borderId="2" xfId="0" applyFont="1" applyFill="1" applyBorder="1" applyAlignment="1" applyProtection="1">
      <alignment horizontal="center"/>
    </xf>
    <xf numFmtId="0" fontId="12" fillId="0" borderId="34" xfId="0" applyFont="1" applyFill="1" applyBorder="1" applyAlignment="1" applyProtection="1">
      <alignment horizontal="center"/>
    </xf>
    <xf numFmtId="0" fontId="0" fillId="0" borderId="8" xfId="0" applyFill="1" applyBorder="1" applyAlignment="1" applyProtection="1">
      <alignment horizontal="center"/>
    </xf>
    <xf numFmtId="0" fontId="8" fillId="0" borderId="35" xfId="0" applyFont="1" applyFill="1" applyBorder="1" applyAlignment="1" applyProtection="1">
      <alignment horizontal="center"/>
    </xf>
    <xf numFmtId="0" fontId="8" fillId="0" borderId="36" xfId="0" applyFont="1" applyFill="1" applyBorder="1" applyAlignment="1" applyProtection="1">
      <alignment horizontal="center"/>
    </xf>
    <xf numFmtId="0" fontId="8" fillId="0" borderId="37" xfId="0" applyFont="1" applyFill="1" applyBorder="1" applyAlignment="1" applyProtection="1">
      <alignment horizontal="center"/>
    </xf>
    <xf numFmtId="0" fontId="3" fillId="0" borderId="4" xfId="0" applyFont="1" applyBorder="1" applyAlignment="1" applyProtection="1">
      <alignment horizontal="left"/>
    </xf>
    <xf numFmtId="0" fontId="3" fillId="0" borderId="2" xfId="0" applyFont="1" applyBorder="1" applyAlignment="1" applyProtection="1">
      <alignment horizontal="left"/>
    </xf>
    <xf numFmtId="0" fontId="3" fillId="0" borderId="34" xfId="0" applyFont="1" applyBorder="1" applyAlignment="1" applyProtection="1">
      <alignment horizontal="left"/>
    </xf>
    <xf numFmtId="0" fontId="3" fillId="0" borderId="5" xfId="0" applyFont="1" applyBorder="1" applyAlignment="1" applyProtection="1">
      <alignment horizontal="left"/>
    </xf>
    <xf numFmtId="0" fontId="3" fillId="0" borderId="0" xfId="0" applyFont="1" applyBorder="1" applyAlignment="1" applyProtection="1">
      <alignment horizontal="left"/>
    </xf>
    <xf numFmtId="0" fontId="3" fillId="0" borderId="6" xfId="0" applyFont="1" applyBorder="1" applyAlignment="1" applyProtection="1">
      <alignment horizontal="left"/>
    </xf>
    <xf numFmtId="0" fontId="3" fillId="0" borderId="32" xfId="0" applyFont="1" applyBorder="1" applyAlignment="1" applyProtection="1">
      <alignment horizontal="left"/>
    </xf>
    <xf numFmtId="0" fontId="3" fillId="0" borderId="1" xfId="0" applyFont="1" applyBorder="1" applyAlignment="1" applyProtection="1">
      <alignment horizontal="left"/>
    </xf>
    <xf numFmtId="0" fontId="3" fillId="0" borderId="33" xfId="0" applyFont="1" applyBorder="1" applyAlignment="1" applyProtection="1">
      <alignment horizontal="left"/>
    </xf>
    <xf numFmtId="0" fontId="9" fillId="0" borderId="6" xfId="0" applyFont="1" applyFill="1" applyBorder="1" applyAlignment="1" applyProtection="1">
      <alignment horizontal="center"/>
    </xf>
    <xf numFmtId="3" fontId="0" fillId="0" borderId="5" xfId="0" applyNumberFormat="1" applyBorder="1" applyAlignment="1" applyProtection="1">
      <alignment horizontal="center"/>
    </xf>
    <xf numFmtId="3" fontId="0" fillId="0" borderId="0" xfId="0" applyNumberFormat="1" applyBorder="1" applyAlignment="1" applyProtection="1">
      <alignment horizontal="center"/>
    </xf>
    <xf numFmtId="3" fontId="0" fillId="0" borderId="6" xfId="0" applyNumberFormat="1" applyBorder="1" applyAlignment="1" applyProtection="1">
      <alignment horizontal="center"/>
    </xf>
    <xf numFmtId="164" fontId="0" fillId="0" borderId="5" xfId="0" applyNumberFormat="1" applyBorder="1" applyAlignment="1" applyProtection="1">
      <alignment horizontal="center"/>
    </xf>
    <xf numFmtId="164" fontId="0" fillId="0" borderId="0" xfId="0" applyNumberFormat="1" applyBorder="1" applyAlignment="1" applyProtection="1">
      <alignment horizontal="center"/>
    </xf>
    <xf numFmtId="164" fontId="0" fillId="0" borderId="6" xfId="0" applyNumberFormat="1" applyBorder="1" applyAlignment="1" applyProtection="1">
      <alignment horizontal="center"/>
    </xf>
    <xf numFmtId="164" fontId="28" fillId="0" borderId="5" xfId="0" applyNumberFormat="1" applyFont="1" applyBorder="1" applyAlignment="1" applyProtection="1">
      <alignment horizontal="center"/>
    </xf>
    <xf numFmtId="164" fontId="28" fillId="0" borderId="0" xfId="0" applyNumberFormat="1" applyFont="1" applyBorder="1" applyAlignment="1" applyProtection="1">
      <alignment horizontal="center"/>
    </xf>
    <xf numFmtId="164" fontId="28" fillId="0" borderId="6" xfId="0" applyNumberFormat="1" applyFont="1" applyBorder="1" applyAlignment="1" applyProtection="1">
      <alignment horizontal="center"/>
    </xf>
    <xf numFmtId="3" fontId="1" fillId="0" borderId="5" xfId="0" applyNumberFormat="1" applyFont="1" applyBorder="1" applyAlignment="1" applyProtection="1">
      <alignment horizontal="center"/>
    </xf>
    <xf numFmtId="3" fontId="1" fillId="0" borderId="6" xfId="0" applyNumberFormat="1" applyFont="1" applyBorder="1" applyAlignment="1" applyProtection="1">
      <alignment horizontal="center"/>
    </xf>
    <xf numFmtId="164" fontId="1" fillId="0" borderId="5" xfId="0" applyNumberFormat="1" applyFont="1" applyBorder="1" applyAlignment="1" applyProtection="1">
      <alignment horizontal="center"/>
    </xf>
    <xf numFmtId="164" fontId="1" fillId="0" borderId="0" xfId="0" applyNumberFormat="1" applyFont="1" applyBorder="1" applyAlignment="1" applyProtection="1">
      <alignment horizontal="center"/>
    </xf>
    <xf numFmtId="164" fontId="1" fillId="0" borderId="6" xfId="0" applyNumberFormat="1" applyFont="1" applyBorder="1" applyAlignment="1" applyProtection="1">
      <alignment horizontal="center"/>
    </xf>
    <xf numFmtId="0" fontId="1" fillId="0" borderId="28" xfId="0" applyFont="1" applyBorder="1" applyAlignment="1" applyProtection="1">
      <alignment horizontal="center" vertical="center"/>
    </xf>
    <xf numFmtId="0" fontId="1" fillId="0" borderId="9" xfId="0" applyFont="1" applyBorder="1" applyAlignment="1" applyProtection="1">
      <alignment horizontal="center" vertical="center"/>
    </xf>
    <xf numFmtId="0" fontId="1" fillId="0" borderId="29" xfId="0" applyFont="1" applyBorder="1" applyAlignment="1" applyProtection="1">
      <alignment horizontal="center" vertical="center"/>
    </xf>
    <xf numFmtId="164" fontId="0" fillId="0" borderId="28" xfId="0" applyNumberFormat="1" applyBorder="1" applyAlignment="1" applyProtection="1">
      <alignment horizontal="center" vertical="center"/>
    </xf>
    <xf numFmtId="0" fontId="0" fillId="0" borderId="9" xfId="0" applyBorder="1" applyAlignment="1" applyProtection="1">
      <alignment horizontal="center" vertical="center"/>
    </xf>
    <xf numFmtId="0" fontId="0" fillId="0" borderId="29" xfId="0"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47625</xdr:colOff>
      <xdr:row>3</xdr:row>
      <xdr:rowOff>221908</xdr:rowOff>
    </xdr:to>
    <xdr:pic>
      <xdr:nvPicPr>
        <xdr:cNvPr id="4" name="Picture 3"/>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0" y="0"/>
          <a:ext cx="2771775" cy="964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12</xdr:col>
      <xdr:colOff>161925</xdr:colOff>
      <xdr:row>3</xdr:row>
      <xdr:rowOff>190499</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212" t="21180" r="14972" b="27430"/>
        <a:stretch/>
      </xdr:blipFill>
      <xdr:spPr>
        <a:xfrm>
          <a:off x="1" y="0"/>
          <a:ext cx="3133724" cy="84772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W632"/>
  <sheetViews>
    <sheetView tabSelected="1" zoomScaleNormal="100" workbookViewId="0">
      <pane ySplit="6" topLeftCell="A7" activePane="bottomLeft" state="frozen"/>
      <selection activeCell="A191" sqref="A191:AC202"/>
      <selection pane="bottomLeft" activeCell="AC50" sqref="AC50"/>
    </sheetView>
  </sheetViews>
  <sheetFormatPr defaultRowHeight="15" x14ac:dyDescent="0.25"/>
  <cols>
    <col min="1" max="86" width="3.7109375" style="1" customWidth="1"/>
    <col min="87" max="16384" width="9.140625" style="1"/>
  </cols>
  <sheetData>
    <row r="1" spans="1:49" ht="20.100000000000001" customHeight="1" x14ac:dyDescent="0.3">
      <c r="AC1" s="18" t="s">
        <v>53</v>
      </c>
      <c r="AG1" s="138" t="s">
        <v>196</v>
      </c>
      <c r="AH1" s="138"/>
      <c r="AI1" s="138"/>
      <c r="AJ1" s="138"/>
      <c r="AK1" s="138"/>
      <c r="AL1" s="138"/>
      <c r="AM1" s="138"/>
      <c r="AN1" s="138"/>
      <c r="AO1" s="138"/>
      <c r="AP1" s="138"/>
      <c r="AQ1" s="138"/>
      <c r="AR1" s="138"/>
      <c r="AS1" s="138"/>
      <c r="AT1" s="138"/>
      <c r="AU1" s="138"/>
      <c r="AV1" s="138"/>
      <c r="AW1" s="138"/>
    </row>
    <row r="2" spans="1:49" ht="20.100000000000001" customHeight="1" x14ac:dyDescent="0.35">
      <c r="AG2" s="139" t="s">
        <v>195</v>
      </c>
      <c r="AH2" s="140"/>
      <c r="AI2" s="140"/>
      <c r="AJ2" s="140"/>
      <c r="AK2" s="140"/>
      <c r="AL2" s="140"/>
      <c r="AM2" s="140"/>
      <c r="AN2" s="140"/>
      <c r="AO2" s="140"/>
      <c r="AP2" s="140"/>
      <c r="AQ2" s="140"/>
      <c r="AR2" s="140"/>
      <c r="AS2" s="140"/>
      <c r="AT2" s="140"/>
      <c r="AU2" s="140"/>
      <c r="AV2" s="140"/>
      <c r="AW2" s="141"/>
    </row>
    <row r="3" spans="1:49" ht="20.100000000000001" customHeight="1" x14ac:dyDescent="0.25"/>
    <row r="4" spans="1:49" ht="20.100000000000001" customHeight="1" x14ac:dyDescent="0.25">
      <c r="W4" s="2"/>
      <c r="X4" s="2"/>
      <c r="Y4" s="2"/>
      <c r="Z4" s="3" t="s">
        <v>52</v>
      </c>
      <c r="AA4" s="69">
        <v>4</v>
      </c>
      <c r="AB4" s="70">
        <v>17</v>
      </c>
      <c r="AC4" s="71">
        <v>14</v>
      </c>
    </row>
    <row r="5" spans="1:49" ht="20.100000000000001" customHeight="1" x14ac:dyDescent="0.25"/>
    <row r="6" spans="1:49" ht="20.100000000000001" customHeight="1" x14ac:dyDescent="0.3">
      <c r="A6" s="4" t="s">
        <v>0</v>
      </c>
      <c r="H6" s="142" t="s">
        <v>207</v>
      </c>
      <c r="I6" s="142"/>
      <c r="J6" s="142"/>
      <c r="K6" s="142"/>
      <c r="L6" s="142"/>
      <c r="M6" s="142"/>
      <c r="N6" s="142"/>
      <c r="O6" s="142"/>
      <c r="P6" s="142"/>
      <c r="Q6" s="142"/>
      <c r="R6" s="142"/>
      <c r="S6" s="142"/>
      <c r="T6" s="142"/>
      <c r="U6" s="142"/>
      <c r="V6" s="142"/>
      <c r="W6" s="142"/>
      <c r="X6" s="142"/>
      <c r="Y6" s="142"/>
      <c r="Z6" s="142"/>
      <c r="AA6" s="142"/>
      <c r="AB6" s="142"/>
      <c r="AC6" s="142"/>
    </row>
    <row r="7" spans="1:49" ht="9.9499999999999993" customHeight="1" x14ac:dyDescent="0.25"/>
    <row r="8" spans="1:49" ht="20.100000000000001" customHeight="1" x14ac:dyDescent="0.3">
      <c r="A8" s="4" t="s">
        <v>60</v>
      </c>
      <c r="H8" s="142" t="s">
        <v>205</v>
      </c>
      <c r="I8" s="142"/>
      <c r="J8" s="142"/>
      <c r="K8" s="142"/>
      <c r="L8" s="142"/>
      <c r="M8" s="142"/>
      <c r="N8" s="142"/>
      <c r="O8" s="142"/>
      <c r="P8" s="142"/>
      <c r="Q8" s="142"/>
      <c r="R8" s="142"/>
      <c r="S8" s="142"/>
      <c r="T8" s="142"/>
      <c r="U8" s="142"/>
      <c r="V8" s="142"/>
      <c r="W8" s="142"/>
      <c r="X8" s="142"/>
      <c r="Y8" s="142"/>
      <c r="Z8" s="142"/>
      <c r="AA8" s="142"/>
      <c r="AB8" s="142"/>
      <c r="AC8" s="142"/>
    </row>
    <row r="9" spans="1:49" ht="9.9499999999999993" customHeight="1" x14ac:dyDescent="0.25"/>
    <row r="10" spans="1:49" ht="20.100000000000001" customHeight="1" x14ac:dyDescent="0.25">
      <c r="A10" s="5" t="s">
        <v>1</v>
      </c>
      <c r="I10" s="142" t="s">
        <v>206</v>
      </c>
      <c r="J10" s="142"/>
      <c r="K10" s="142"/>
      <c r="L10" s="142"/>
      <c r="M10" s="142"/>
      <c r="N10" s="142"/>
      <c r="O10" s="142"/>
      <c r="P10" s="142"/>
      <c r="S10" s="6" t="s">
        <v>136</v>
      </c>
      <c r="T10" s="145" t="s">
        <v>208</v>
      </c>
      <c r="U10" s="145"/>
      <c r="V10" s="145"/>
      <c r="W10" s="145"/>
      <c r="X10" s="145"/>
      <c r="Y10" s="145"/>
      <c r="Z10" s="145"/>
      <c r="AA10" s="145"/>
      <c r="AB10" s="145"/>
      <c r="AC10" s="145"/>
    </row>
    <row r="11" spans="1:49" ht="20.100000000000001" customHeight="1" x14ac:dyDescent="0.25"/>
    <row r="12" spans="1:49" ht="20.100000000000001" customHeight="1" x14ac:dyDescent="0.3">
      <c r="A12" s="4" t="s">
        <v>59</v>
      </c>
      <c r="H12" s="142" t="s">
        <v>198</v>
      </c>
      <c r="I12" s="142"/>
      <c r="J12" s="142"/>
      <c r="K12" s="142"/>
      <c r="L12" s="142"/>
      <c r="M12" s="142"/>
      <c r="N12" s="142"/>
      <c r="O12" s="142"/>
      <c r="P12" s="142"/>
      <c r="Q12" s="142"/>
      <c r="R12" s="142"/>
      <c r="S12" s="142"/>
      <c r="T12" s="142"/>
      <c r="U12" s="142"/>
      <c r="V12" s="142"/>
      <c r="W12" s="142"/>
      <c r="X12" s="142"/>
      <c r="Y12" s="142"/>
      <c r="Z12" s="142"/>
      <c r="AA12" s="142"/>
      <c r="AB12" s="142"/>
      <c r="AC12" s="142"/>
    </row>
    <row r="13" spans="1:49" x14ac:dyDescent="0.25">
      <c r="A13" s="143" t="s">
        <v>61</v>
      </c>
      <c r="B13" s="143"/>
      <c r="C13" s="143"/>
      <c r="D13" s="143"/>
      <c r="E13" s="143"/>
      <c r="F13" s="143"/>
      <c r="G13" s="143"/>
    </row>
    <row r="14" spans="1:49" ht="20.100000000000001" customHeight="1" x14ac:dyDescent="0.25">
      <c r="A14" s="5" t="s">
        <v>24</v>
      </c>
      <c r="I14" s="142"/>
      <c r="J14" s="142"/>
      <c r="K14" s="142"/>
      <c r="L14" s="142"/>
      <c r="M14" s="142"/>
      <c r="N14" s="142"/>
      <c r="O14" s="142"/>
      <c r="P14" s="142"/>
      <c r="S14" s="6" t="s">
        <v>136</v>
      </c>
      <c r="T14" s="158"/>
      <c r="U14" s="158"/>
      <c r="V14" s="158"/>
      <c r="W14" s="158"/>
      <c r="X14" s="158"/>
      <c r="Y14" s="158"/>
      <c r="Z14" s="158"/>
      <c r="AA14" s="158"/>
      <c r="AB14" s="158"/>
      <c r="AC14" s="158"/>
    </row>
    <row r="15" spans="1:49" ht="20.100000000000001" customHeight="1" thickBot="1" x14ac:dyDescent="0.3">
      <c r="A15" s="144"/>
      <c r="B15" s="144"/>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44"/>
      <c r="AB15" s="144"/>
      <c r="AC15" s="144"/>
      <c r="AD15" s="144"/>
    </row>
    <row r="16" spans="1:49" ht="9.9499999999999993" customHeight="1" x14ac:dyDescent="0.25"/>
    <row r="17" spans="1:30" ht="20.100000000000001" customHeight="1" thickBot="1" x14ac:dyDescent="0.3">
      <c r="B17" s="1" t="s">
        <v>54</v>
      </c>
      <c r="K17" s="62"/>
      <c r="L17" s="7" t="s">
        <v>98</v>
      </c>
      <c r="M17" s="7"/>
      <c r="N17" s="62" t="s">
        <v>199</v>
      </c>
      <c r="O17" s="7" t="s">
        <v>99</v>
      </c>
      <c r="W17" s="6" t="s">
        <v>135</v>
      </c>
      <c r="X17" s="62"/>
      <c r="Y17" s="7" t="s">
        <v>98</v>
      </c>
      <c r="Z17" s="7"/>
      <c r="AA17" s="62" t="s">
        <v>199</v>
      </c>
      <c r="AB17" s="7" t="s">
        <v>99</v>
      </c>
    </row>
    <row r="18" spans="1:30" ht="9.9499999999999993" customHeight="1" x14ac:dyDescent="0.25"/>
    <row r="19" spans="1:30" ht="20.100000000000001" customHeight="1" thickBot="1" x14ac:dyDescent="0.3">
      <c r="B19" s="1" t="s">
        <v>55</v>
      </c>
      <c r="X19" s="62"/>
      <c r="Y19" s="7" t="s">
        <v>98</v>
      </c>
      <c r="Z19" s="7"/>
      <c r="AA19" s="62" t="s">
        <v>199</v>
      </c>
      <c r="AB19" s="7" t="s">
        <v>99</v>
      </c>
    </row>
    <row r="20" spans="1:30" ht="9.9499999999999993" customHeight="1" x14ac:dyDescent="0.25"/>
    <row r="21" spans="1:30" ht="20.100000000000001" customHeight="1" thickBot="1" x14ac:dyDescent="0.3">
      <c r="B21" s="1" t="s">
        <v>58</v>
      </c>
      <c r="X21" s="62"/>
      <c r="Y21" s="7" t="s">
        <v>98</v>
      </c>
      <c r="Z21" s="7"/>
      <c r="AA21" s="62" t="s">
        <v>199</v>
      </c>
      <c r="AB21" s="7" t="s">
        <v>99</v>
      </c>
    </row>
    <row r="22" spans="1:30" ht="9.9499999999999993" customHeight="1" x14ac:dyDescent="0.25"/>
    <row r="23" spans="1:30" ht="20.100000000000001" customHeight="1" x14ac:dyDescent="0.25">
      <c r="A23" s="14"/>
      <c r="B23" s="68" t="s">
        <v>142</v>
      </c>
      <c r="C23" s="14"/>
      <c r="D23" s="14"/>
    </row>
    <row r="24" spans="1:30" ht="9.9499999999999993" customHeight="1" x14ac:dyDescent="0.25"/>
    <row r="25" spans="1:30" ht="20.100000000000001" customHeight="1" x14ac:dyDescent="0.25">
      <c r="B25" s="129" t="s">
        <v>197</v>
      </c>
      <c r="X25" s="128"/>
      <c r="Y25" s="31"/>
      <c r="Z25" s="31"/>
      <c r="AA25" s="128"/>
      <c r="AB25" s="31"/>
    </row>
    <row r="26" spans="1:30" ht="9.9499999999999993" customHeight="1" thickBot="1" x14ac:dyDescent="0.3">
      <c r="A26" s="144"/>
      <c r="B26" s="144"/>
      <c r="C26" s="144"/>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4"/>
      <c r="AB26" s="144"/>
      <c r="AC26" s="144"/>
      <c r="AD26" s="144"/>
    </row>
    <row r="27" spans="1:30" ht="20.100000000000001" customHeight="1" x14ac:dyDescent="0.25">
      <c r="A27" s="8" t="s">
        <v>27</v>
      </c>
    </row>
    <row r="28" spans="1:30" ht="20.100000000000001" customHeight="1" x14ac:dyDescent="0.25">
      <c r="E28" s="6" t="s">
        <v>28</v>
      </c>
      <c r="F28" s="142" t="s">
        <v>209</v>
      </c>
      <c r="G28" s="142"/>
      <c r="H28" s="142"/>
      <c r="I28" s="142"/>
      <c r="J28" s="142"/>
      <c r="K28" s="142"/>
      <c r="L28" s="142"/>
      <c r="M28" s="142"/>
      <c r="N28" s="142"/>
      <c r="O28" s="142"/>
      <c r="P28" s="142"/>
      <c r="Q28" s="142"/>
      <c r="R28" s="142"/>
      <c r="S28" s="142"/>
      <c r="T28" s="142"/>
      <c r="U28" s="142"/>
      <c r="V28" s="142"/>
      <c r="W28" s="142"/>
      <c r="X28" s="142"/>
      <c r="Y28" s="142"/>
      <c r="Z28" s="142"/>
      <c r="AA28" s="142"/>
      <c r="AB28" s="142"/>
      <c r="AC28" s="142"/>
    </row>
    <row r="29" spans="1:30" s="9" customFormat="1" ht="9.9499999999999993" customHeight="1" x14ac:dyDescent="0.25">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row>
    <row r="30" spans="1:30" ht="20.100000000000001" customHeight="1" x14ac:dyDescent="0.25">
      <c r="E30" s="6" t="s">
        <v>29</v>
      </c>
      <c r="F30" s="142" t="s">
        <v>210</v>
      </c>
      <c r="G30" s="142"/>
      <c r="H30" s="142"/>
      <c r="I30" s="142"/>
      <c r="J30" s="142"/>
      <c r="K30" s="142"/>
      <c r="L30" s="142"/>
      <c r="M30" s="142"/>
      <c r="N30" s="142"/>
      <c r="O30" s="142"/>
      <c r="P30" s="142"/>
      <c r="Q30" s="142"/>
      <c r="R30" s="142"/>
      <c r="S30" s="142"/>
      <c r="T30" s="142"/>
      <c r="U30" s="142"/>
      <c r="V30" s="142"/>
      <c r="W30" s="142"/>
      <c r="X30" s="142"/>
      <c r="Y30" s="142"/>
      <c r="Z30" s="142"/>
      <c r="AA30" s="142"/>
      <c r="AB30" s="142"/>
      <c r="AC30" s="142"/>
    </row>
    <row r="31" spans="1:30" s="9" customFormat="1" ht="9.9499999999999993" customHeight="1" x14ac:dyDescent="0.25">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row>
    <row r="32" spans="1:30" ht="20.100000000000001" customHeight="1" x14ac:dyDescent="0.25">
      <c r="E32" s="6" t="s">
        <v>30</v>
      </c>
      <c r="F32" s="142" t="s">
        <v>211</v>
      </c>
      <c r="G32" s="142"/>
      <c r="H32" s="142"/>
      <c r="I32" s="142"/>
      <c r="J32" s="142"/>
      <c r="K32" s="142"/>
      <c r="L32" s="142"/>
      <c r="M32" s="142"/>
      <c r="N32" s="142"/>
      <c r="O32" s="142"/>
      <c r="P32" s="142"/>
      <c r="Q32" s="142"/>
      <c r="R32" s="142"/>
      <c r="S32" s="142"/>
      <c r="T32" s="142"/>
      <c r="V32" s="6" t="s">
        <v>13</v>
      </c>
      <c r="W32" s="155" t="s">
        <v>200</v>
      </c>
      <c r="X32" s="155"/>
      <c r="Y32" s="155"/>
      <c r="Z32" s="6" t="s">
        <v>14</v>
      </c>
      <c r="AA32" s="156">
        <v>48226</v>
      </c>
      <c r="AB32" s="156"/>
      <c r="AC32" s="156"/>
    </row>
    <row r="33" spans="1:43" ht="9.9499999999999993" customHeight="1" x14ac:dyDescent="0.25">
      <c r="F33" s="11"/>
      <c r="G33" s="11"/>
      <c r="H33" s="11"/>
      <c r="I33" s="11"/>
      <c r="J33" s="11"/>
      <c r="K33" s="11"/>
      <c r="L33" s="11"/>
      <c r="M33" s="11"/>
      <c r="N33" s="11"/>
      <c r="O33" s="11"/>
      <c r="P33" s="11"/>
      <c r="Q33" s="11"/>
      <c r="R33" s="11"/>
      <c r="S33" s="11"/>
      <c r="T33" s="11"/>
      <c r="U33" s="11"/>
      <c r="V33" s="11"/>
      <c r="W33" s="11"/>
      <c r="X33" s="11"/>
      <c r="Y33" s="11"/>
      <c r="Z33" s="11"/>
      <c r="AA33" s="11"/>
      <c r="AB33" s="11"/>
      <c r="AC33" s="11"/>
    </row>
    <row r="34" spans="1:43" ht="20.100000000000001" customHeight="1" x14ac:dyDescent="0.25">
      <c r="E34" s="6" t="s">
        <v>64</v>
      </c>
      <c r="F34" s="142" t="s">
        <v>212</v>
      </c>
      <c r="G34" s="142"/>
      <c r="H34" s="142"/>
      <c r="I34" s="142"/>
      <c r="J34" s="142"/>
      <c r="K34" s="142"/>
      <c r="L34" s="142"/>
      <c r="M34" s="142"/>
      <c r="S34" s="6" t="s">
        <v>136</v>
      </c>
      <c r="T34" s="157" t="s">
        <v>213</v>
      </c>
      <c r="U34" s="157"/>
      <c r="V34" s="157"/>
      <c r="W34" s="157"/>
      <c r="X34" s="157"/>
      <c r="Y34" s="157"/>
      <c r="Z34" s="157"/>
      <c r="AA34" s="157"/>
      <c r="AB34" s="157"/>
      <c r="AC34" s="157"/>
      <c r="AQ34" s="127"/>
    </row>
    <row r="35" spans="1:43" ht="9.9499999999999993" customHeight="1" x14ac:dyDescent="0.25"/>
    <row r="36" spans="1:43" ht="20.100000000000001" customHeight="1" x14ac:dyDescent="0.25">
      <c r="A36" s="12" t="s">
        <v>56</v>
      </c>
      <c r="F36" s="13"/>
      <c r="I36" s="13"/>
      <c r="J36" s="13"/>
      <c r="K36" s="13"/>
      <c r="L36" s="13"/>
      <c r="M36" s="13"/>
      <c r="N36" s="13"/>
      <c r="O36" s="13"/>
      <c r="P36" s="13"/>
      <c r="Q36" s="13"/>
      <c r="R36" s="13"/>
      <c r="S36" s="13"/>
      <c r="T36" s="13"/>
      <c r="U36" s="13"/>
      <c r="V36" s="13"/>
      <c r="W36" s="13"/>
      <c r="X36" s="13"/>
      <c r="Y36" s="13"/>
      <c r="Z36" s="13"/>
      <c r="AA36" s="13"/>
      <c r="AB36" s="13"/>
      <c r="AC36" s="13"/>
    </row>
    <row r="37" spans="1:43" ht="20.100000000000001" customHeight="1" x14ac:dyDescent="0.25">
      <c r="A37" s="146" t="s">
        <v>214</v>
      </c>
      <c r="B37" s="147"/>
      <c r="C37" s="147"/>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148"/>
      <c r="AD37" s="14"/>
    </row>
    <row r="38" spans="1:43" ht="20.100000000000001" customHeight="1" x14ac:dyDescent="0.25">
      <c r="A38" s="149"/>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1"/>
    </row>
    <row r="39" spans="1:43" ht="20.100000000000001" customHeight="1" x14ac:dyDescent="0.25">
      <c r="A39" s="149"/>
      <c r="B39" s="150"/>
      <c r="C39" s="150"/>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0"/>
      <c r="AB39" s="150"/>
      <c r="AC39" s="151"/>
    </row>
    <row r="40" spans="1:43" ht="20.100000000000001" customHeight="1" thickBot="1" x14ac:dyDescent="0.3">
      <c r="A40" s="152"/>
      <c r="B40" s="153"/>
      <c r="C40" s="153"/>
      <c r="D40" s="153"/>
      <c r="E40" s="153"/>
      <c r="F40" s="153"/>
      <c r="G40" s="153"/>
      <c r="H40" s="153"/>
      <c r="I40" s="153"/>
      <c r="J40" s="153"/>
      <c r="K40" s="153"/>
      <c r="L40" s="153"/>
      <c r="M40" s="153"/>
      <c r="N40" s="153"/>
      <c r="O40" s="153"/>
      <c r="P40" s="153"/>
      <c r="Q40" s="153"/>
      <c r="R40" s="153"/>
      <c r="S40" s="153"/>
      <c r="T40" s="153"/>
      <c r="U40" s="153"/>
      <c r="V40" s="153"/>
      <c r="W40" s="153"/>
      <c r="X40" s="153"/>
      <c r="Y40" s="153"/>
      <c r="Z40" s="153"/>
      <c r="AA40" s="153"/>
      <c r="AB40" s="153"/>
      <c r="AC40" s="154"/>
    </row>
    <row r="41" spans="1:43" ht="9.9499999999999993" customHeight="1" x14ac:dyDescent="0.25"/>
    <row r="42" spans="1:43" ht="20.100000000000001" customHeight="1" x14ac:dyDescent="0.25">
      <c r="F42" s="15" t="s">
        <v>31</v>
      </c>
      <c r="G42" s="69">
        <v>4</v>
      </c>
      <c r="H42" s="70">
        <v>30</v>
      </c>
      <c r="I42" s="71">
        <v>14</v>
      </c>
      <c r="J42" s="13"/>
      <c r="L42" s="13"/>
      <c r="M42" s="16" t="s">
        <v>57</v>
      </c>
      <c r="N42" s="142" t="s">
        <v>205</v>
      </c>
      <c r="O42" s="142"/>
      <c r="P42" s="142"/>
      <c r="Q42" s="142"/>
      <c r="R42" s="142"/>
      <c r="S42" s="142"/>
      <c r="T42" s="142"/>
      <c r="U42" s="142"/>
      <c r="V42" s="142"/>
      <c r="W42" s="142"/>
      <c r="X42" s="142"/>
      <c r="Y42" s="142"/>
      <c r="Z42" s="142"/>
      <c r="AA42" s="142"/>
      <c r="AB42" s="142"/>
      <c r="AC42" s="142"/>
    </row>
    <row r="43" spans="1:43" ht="9.9499999999999993" customHeight="1" x14ac:dyDescent="0.25">
      <c r="A43" s="12"/>
      <c r="F43" s="13"/>
      <c r="I43" s="13"/>
      <c r="J43" s="13"/>
      <c r="K43" s="13"/>
      <c r="L43" s="13"/>
      <c r="M43" s="13"/>
      <c r="N43" s="13"/>
      <c r="O43" s="13"/>
      <c r="P43" s="13"/>
      <c r="Q43" s="13"/>
      <c r="R43" s="13"/>
      <c r="S43" s="13"/>
      <c r="T43" s="13"/>
      <c r="U43" s="13"/>
      <c r="V43" s="13"/>
      <c r="W43" s="13"/>
      <c r="X43" s="13"/>
      <c r="Y43" s="13"/>
      <c r="Z43" s="13"/>
      <c r="AA43" s="13"/>
      <c r="AB43" s="13"/>
      <c r="AC43" s="13"/>
    </row>
    <row r="44" spans="1:43" ht="20.100000000000001" customHeight="1" x14ac:dyDescent="0.25">
      <c r="A44" s="12" t="s">
        <v>32</v>
      </c>
      <c r="F44" s="13"/>
      <c r="I44" s="13"/>
      <c r="J44" s="13"/>
      <c r="K44" s="13"/>
      <c r="L44" s="13"/>
      <c r="M44" s="13"/>
      <c r="N44" s="13"/>
      <c r="O44" s="13"/>
      <c r="P44" s="13"/>
      <c r="Q44" s="13"/>
      <c r="R44" s="13"/>
      <c r="S44" s="13"/>
      <c r="T44" s="13"/>
      <c r="U44" s="13"/>
      <c r="V44" s="13"/>
      <c r="W44" s="13"/>
      <c r="X44" s="13"/>
      <c r="Y44" s="13"/>
      <c r="Z44" s="13"/>
      <c r="AA44" s="13"/>
      <c r="AB44" s="13"/>
      <c r="AC44" s="13"/>
    </row>
    <row r="45" spans="1:43" ht="20.100000000000001" customHeight="1" x14ac:dyDescent="0.25">
      <c r="A45" s="146" t="s">
        <v>215</v>
      </c>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8"/>
    </row>
    <row r="46" spans="1:43" ht="20.100000000000001" customHeight="1" x14ac:dyDescent="0.25">
      <c r="A46" s="149"/>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1"/>
    </row>
    <row r="47" spans="1:43" ht="20.100000000000001" customHeight="1" x14ac:dyDescent="0.25">
      <c r="A47" s="149"/>
      <c r="B47" s="150"/>
      <c r="C47" s="150"/>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150"/>
      <c r="AB47" s="150"/>
      <c r="AC47" s="151"/>
    </row>
    <row r="48" spans="1:43" ht="20.100000000000001" customHeight="1" x14ac:dyDescent="0.25">
      <c r="A48" s="149"/>
      <c r="B48" s="150"/>
      <c r="C48" s="150"/>
      <c r="D48" s="150"/>
      <c r="E48" s="150"/>
      <c r="F48" s="150"/>
      <c r="G48" s="150"/>
      <c r="H48" s="150"/>
      <c r="I48" s="150"/>
      <c r="J48" s="150"/>
      <c r="K48" s="150"/>
      <c r="L48" s="150"/>
      <c r="M48" s="150"/>
      <c r="N48" s="150"/>
      <c r="O48" s="150"/>
      <c r="P48" s="150"/>
      <c r="Q48" s="150"/>
      <c r="R48" s="150"/>
      <c r="S48" s="150"/>
      <c r="T48" s="150"/>
      <c r="U48" s="150"/>
      <c r="V48" s="150"/>
      <c r="W48" s="150"/>
      <c r="X48" s="150"/>
      <c r="Y48" s="150"/>
      <c r="Z48" s="150"/>
      <c r="AA48" s="150"/>
      <c r="AB48" s="150"/>
      <c r="AC48" s="151"/>
    </row>
    <row r="49" spans="1:29" ht="20.100000000000001" customHeight="1" thickBot="1" x14ac:dyDescent="0.3">
      <c r="A49" s="152"/>
      <c r="B49" s="153"/>
      <c r="C49" s="15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153"/>
      <c r="AB49" s="153"/>
      <c r="AC49" s="154"/>
    </row>
    <row r="50" spans="1:29" ht="9.9499999999999993" customHeight="1" thickBot="1" x14ac:dyDescent="0.3"/>
    <row r="51" spans="1:29" s="130" customFormat="1" ht="39.950000000000003" customHeight="1" thickBot="1" x14ac:dyDescent="0.3">
      <c r="A51" s="131" t="s">
        <v>202</v>
      </c>
      <c r="B51" s="132"/>
      <c r="C51" s="133"/>
      <c r="D51" s="133"/>
      <c r="E51" s="133"/>
      <c r="F51" s="134"/>
      <c r="G51" s="133"/>
      <c r="H51" s="133"/>
      <c r="I51" s="134"/>
      <c r="J51" s="134"/>
      <c r="K51" s="134"/>
      <c r="L51" s="134"/>
      <c r="M51" s="134"/>
      <c r="N51" s="134"/>
      <c r="O51" s="134"/>
      <c r="P51" s="134"/>
      <c r="Q51" s="134"/>
      <c r="R51" s="134"/>
      <c r="S51" s="134"/>
      <c r="T51" s="134"/>
      <c r="U51" s="134"/>
      <c r="V51" s="134"/>
      <c r="W51" s="133" t="s">
        <v>190</v>
      </c>
      <c r="X51" s="133"/>
      <c r="Y51" s="133"/>
      <c r="Z51" s="133"/>
      <c r="AA51" s="135">
        <v>4</v>
      </c>
      <c r="AB51" s="136">
        <v>17</v>
      </c>
      <c r="AC51" s="137">
        <v>14</v>
      </c>
    </row>
    <row r="52" spans="1:29" ht="20.100000000000001" customHeight="1" x14ac:dyDescent="0.25"/>
    <row r="53" spans="1:29" ht="20.100000000000001" customHeight="1" x14ac:dyDescent="0.25"/>
    <row r="54" spans="1:29" ht="20.100000000000001" customHeight="1" x14ac:dyDescent="0.25"/>
    <row r="55" spans="1:29" ht="20.100000000000001" customHeight="1" x14ac:dyDescent="0.25"/>
    <row r="56" spans="1:29" ht="20.100000000000001" customHeight="1" x14ac:dyDescent="0.25"/>
    <row r="57" spans="1:29" ht="20.100000000000001" customHeight="1" x14ac:dyDescent="0.25"/>
    <row r="58" spans="1:29" ht="20.100000000000001" customHeight="1" x14ac:dyDescent="0.25"/>
    <row r="59" spans="1:29" ht="20.100000000000001" customHeight="1" x14ac:dyDescent="0.25"/>
    <row r="60" spans="1:29" ht="20.100000000000001" customHeight="1" x14ac:dyDescent="0.25"/>
    <row r="61" spans="1:29" ht="20.100000000000001" customHeight="1" x14ac:dyDescent="0.25"/>
    <row r="62" spans="1:29" ht="20.100000000000001" customHeight="1" x14ac:dyDescent="0.25"/>
    <row r="63" spans="1:29" ht="20.100000000000001" customHeight="1" x14ac:dyDescent="0.25"/>
    <row r="64" spans="1:29"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20.100000000000001" customHeight="1" x14ac:dyDescent="0.25"/>
    <row r="110" ht="20.100000000000001" customHeight="1" x14ac:dyDescent="0.25"/>
    <row r="111" ht="20.100000000000001" customHeight="1" x14ac:dyDescent="0.25"/>
    <row r="112" ht="20.100000000000001" customHeight="1" x14ac:dyDescent="0.25"/>
    <row r="113" ht="20.100000000000001" customHeight="1" x14ac:dyDescent="0.25"/>
    <row r="114" ht="20.100000000000001" customHeight="1" x14ac:dyDescent="0.25"/>
    <row r="115" ht="20.100000000000001" customHeight="1" x14ac:dyDescent="0.25"/>
    <row r="116" ht="20.100000000000001" customHeight="1" x14ac:dyDescent="0.25"/>
    <row r="117" ht="20.100000000000001" customHeight="1" x14ac:dyDescent="0.25"/>
    <row r="118" ht="20.100000000000001" customHeight="1" x14ac:dyDescent="0.25"/>
    <row r="119" ht="20.100000000000001" customHeight="1" x14ac:dyDescent="0.25"/>
    <row r="120" ht="20.100000000000001" customHeight="1" x14ac:dyDescent="0.25"/>
    <row r="121" ht="20.100000000000001" customHeight="1" x14ac:dyDescent="0.25"/>
    <row r="122" ht="20.100000000000001" customHeight="1" x14ac:dyDescent="0.25"/>
    <row r="123" ht="20.100000000000001" customHeight="1" x14ac:dyDescent="0.25"/>
    <row r="124" ht="20.100000000000001" customHeight="1" x14ac:dyDescent="0.25"/>
    <row r="125" ht="20.100000000000001" customHeight="1" x14ac:dyDescent="0.25"/>
    <row r="126" ht="20.100000000000001" customHeight="1" x14ac:dyDescent="0.25"/>
    <row r="127" ht="20.100000000000001" customHeight="1" x14ac:dyDescent="0.25"/>
    <row r="128" ht="20.100000000000001" customHeight="1" x14ac:dyDescent="0.25"/>
    <row r="129" ht="20.100000000000001" customHeight="1" x14ac:dyDescent="0.25"/>
    <row r="130" ht="20.100000000000001" customHeight="1" x14ac:dyDescent="0.25"/>
    <row r="131" ht="20.100000000000001" customHeight="1" x14ac:dyDescent="0.25"/>
    <row r="132" ht="20.100000000000001" customHeight="1" x14ac:dyDescent="0.25"/>
    <row r="133" ht="20.100000000000001" customHeight="1" x14ac:dyDescent="0.25"/>
    <row r="134" ht="20.100000000000001" customHeight="1" x14ac:dyDescent="0.25"/>
    <row r="135" ht="20.100000000000001" customHeight="1" x14ac:dyDescent="0.25"/>
    <row r="136" ht="20.100000000000001" customHeight="1" x14ac:dyDescent="0.25"/>
    <row r="137" ht="20.100000000000001" customHeight="1" x14ac:dyDescent="0.25"/>
    <row r="138" ht="20.100000000000001" customHeight="1" x14ac:dyDescent="0.25"/>
    <row r="139" ht="20.100000000000001" customHeight="1" x14ac:dyDescent="0.25"/>
    <row r="140" ht="20.100000000000001" customHeight="1" x14ac:dyDescent="0.25"/>
    <row r="141" ht="20.100000000000001" customHeight="1" x14ac:dyDescent="0.25"/>
    <row r="142" ht="20.100000000000001" customHeight="1" x14ac:dyDescent="0.25"/>
    <row r="143" ht="20.100000000000001" customHeight="1" x14ac:dyDescent="0.25"/>
    <row r="144" ht="20.100000000000001" customHeight="1" x14ac:dyDescent="0.25"/>
    <row r="145" ht="20.100000000000001" customHeight="1" x14ac:dyDescent="0.25"/>
    <row r="146" ht="20.100000000000001" customHeight="1" x14ac:dyDescent="0.25"/>
    <row r="147" ht="20.100000000000001" customHeight="1" x14ac:dyDescent="0.25"/>
    <row r="148" ht="20.100000000000001" customHeight="1" x14ac:dyDescent="0.25"/>
    <row r="149" ht="20.100000000000001" customHeight="1" x14ac:dyDescent="0.25"/>
    <row r="150" ht="20.100000000000001" customHeight="1" x14ac:dyDescent="0.25"/>
    <row r="151" ht="20.100000000000001" customHeight="1" x14ac:dyDescent="0.25"/>
    <row r="152" ht="20.100000000000001" customHeight="1" x14ac:dyDescent="0.25"/>
    <row r="153" ht="20.100000000000001" customHeight="1" x14ac:dyDescent="0.25"/>
    <row r="154" ht="20.100000000000001" customHeight="1" x14ac:dyDescent="0.25"/>
    <row r="155" ht="20.100000000000001" customHeight="1" x14ac:dyDescent="0.25"/>
    <row r="156" ht="20.100000000000001" customHeight="1" x14ac:dyDescent="0.25"/>
    <row r="157" ht="20.100000000000001" customHeight="1" x14ac:dyDescent="0.25"/>
    <row r="158" ht="20.100000000000001" customHeight="1" x14ac:dyDescent="0.25"/>
    <row r="159" ht="20.100000000000001" customHeight="1" x14ac:dyDescent="0.25"/>
    <row r="160" ht="20.100000000000001" customHeight="1" x14ac:dyDescent="0.25"/>
    <row r="161" ht="20.100000000000001" customHeight="1" x14ac:dyDescent="0.25"/>
    <row r="162" ht="20.100000000000001" customHeight="1" x14ac:dyDescent="0.25"/>
    <row r="163" ht="20.100000000000001" customHeight="1" x14ac:dyDescent="0.25"/>
    <row r="164" ht="20.100000000000001" customHeight="1" x14ac:dyDescent="0.25"/>
    <row r="165" ht="20.100000000000001" customHeight="1" x14ac:dyDescent="0.25"/>
    <row r="166" ht="20.100000000000001" customHeight="1" x14ac:dyDescent="0.25"/>
    <row r="167" ht="20.100000000000001" customHeight="1" x14ac:dyDescent="0.25"/>
    <row r="168" ht="20.100000000000001" customHeight="1" x14ac:dyDescent="0.25"/>
    <row r="169" ht="20.100000000000001" customHeight="1" x14ac:dyDescent="0.25"/>
    <row r="170" ht="20.100000000000001" customHeight="1" x14ac:dyDescent="0.25"/>
    <row r="171" ht="20.100000000000001" customHeight="1" x14ac:dyDescent="0.25"/>
    <row r="172" ht="20.100000000000001" customHeight="1" x14ac:dyDescent="0.25"/>
    <row r="173" ht="20.100000000000001" customHeight="1" x14ac:dyDescent="0.25"/>
    <row r="174" ht="20.100000000000001" customHeight="1" x14ac:dyDescent="0.25"/>
    <row r="175" ht="20.100000000000001" customHeight="1" x14ac:dyDescent="0.25"/>
    <row r="176" ht="20.100000000000001" customHeight="1" x14ac:dyDescent="0.25"/>
    <row r="177" ht="20.100000000000001" customHeight="1" x14ac:dyDescent="0.25"/>
    <row r="178" ht="20.100000000000001" customHeight="1" x14ac:dyDescent="0.25"/>
    <row r="179" ht="20.100000000000001" customHeight="1" x14ac:dyDescent="0.25"/>
    <row r="180" ht="20.100000000000001" customHeight="1" x14ac:dyDescent="0.25"/>
    <row r="181" ht="20.100000000000001" customHeight="1" x14ac:dyDescent="0.25"/>
    <row r="182" ht="20.100000000000001" customHeight="1" x14ac:dyDescent="0.25"/>
    <row r="183" ht="20.100000000000001" customHeight="1" x14ac:dyDescent="0.25"/>
    <row r="184" ht="20.100000000000001" customHeight="1" x14ac:dyDescent="0.25"/>
    <row r="185" ht="20.100000000000001" customHeight="1" x14ac:dyDescent="0.25"/>
    <row r="186" ht="20.100000000000001" customHeight="1" x14ac:dyDescent="0.25"/>
    <row r="187" ht="20.100000000000001" customHeight="1" x14ac:dyDescent="0.25"/>
    <row r="188" ht="20.100000000000001" customHeight="1" x14ac:dyDescent="0.25"/>
    <row r="189" ht="20.100000000000001" customHeight="1" x14ac:dyDescent="0.25"/>
    <row r="190" ht="20.100000000000001" customHeight="1" x14ac:dyDescent="0.25"/>
    <row r="191" ht="20.100000000000001" customHeight="1" x14ac:dyDescent="0.25"/>
    <row r="192" ht="20.100000000000001" customHeight="1" x14ac:dyDescent="0.25"/>
    <row r="193" ht="20.100000000000001" customHeight="1" x14ac:dyDescent="0.25"/>
    <row r="194" ht="20.100000000000001" customHeight="1" x14ac:dyDescent="0.25"/>
    <row r="195" ht="20.100000000000001" customHeight="1" x14ac:dyDescent="0.25"/>
    <row r="196" ht="20.100000000000001" customHeight="1" x14ac:dyDescent="0.25"/>
    <row r="197" ht="20.100000000000001" customHeight="1" x14ac:dyDescent="0.25"/>
    <row r="198" ht="20.100000000000001" customHeight="1" x14ac:dyDescent="0.25"/>
    <row r="199" ht="20.100000000000001" customHeight="1" x14ac:dyDescent="0.25"/>
    <row r="200" ht="20.100000000000001" customHeight="1" x14ac:dyDescent="0.25"/>
    <row r="201" ht="20.100000000000001" customHeight="1" x14ac:dyDescent="0.25"/>
    <row r="202" ht="20.100000000000001" customHeight="1" x14ac:dyDescent="0.25"/>
    <row r="203" ht="20.100000000000001" customHeight="1" x14ac:dyDescent="0.25"/>
    <row r="204" ht="20.100000000000001" customHeight="1" x14ac:dyDescent="0.25"/>
    <row r="205" ht="20.100000000000001" customHeight="1" x14ac:dyDescent="0.25"/>
    <row r="206" ht="20.100000000000001" customHeight="1" x14ac:dyDescent="0.25"/>
    <row r="207" ht="20.100000000000001" customHeight="1" x14ac:dyDescent="0.25"/>
    <row r="208" ht="20.100000000000001" customHeight="1" x14ac:dyDescent="0.25"/>
    <row r="209" ht="20.100000000000001" customHeight="1" x14ac:dyDescent="0.25"/>
    <row r="210" ht="20.100000000000001" customHeight="1" x14ac:dyDescent="0.25"/>
    <row r="211" ht="20.100000000000001" customHeight="1" x14ac:dyDescent="0.25"/>
    <row r="212" ht="20.100000000000001" customHeight="1" x14ac:dyDescent="0.25"/>
    <row r="213" ht="20.100000000000001" customHeight="1" x14ac:dyDescent="0.25"/>
    <row r="214" ht="20.100000000000001" customHeight="1" x14ac:dyDescent="0.25"/>
    <row r="215" ht="20.100000000000001" customHeight="1" x14ac:dyDescent="0.25"/>
    <row r="216" ht="20.100000000000001" customHeight="1" x14ac:dyDescent="0.25"/>
    <row r="217" ht="20.100000000000001" customHeight="1" x14ac:dyDescent="0.25"/>
    <row r="218" ht="20.100000000000001" customHeight="1" x14ac:dyDescent="0.25"/>
    <row r="219" ht="20.100000000000001" customHeight="1" x14ac:dyDescent="0.25"/>
    <row r="220" ht="20.100000000000001" customHeight="1" x14ac:dyDescent="0.25"/>
    <row r="221" ht="20.100000000000001" customHeight="1" x14ac:dyDescent="0.25"/>
    <row r="222" ht="20.100000000000001" customHeight="1" x14ac:dyDescent="0.25"/>
    <row r="223" ht="20.100000000000001" customHeight="1" x14ac:dyDescent="0.25"/>
    <row r="224" ht="20.100000000000001" customHeight="1" x14ac:dyDescent="0.25"/>
    <row r="225" ht="20.100000000000001" customHeight="1" x14ac:dyDescent="0.25"/>
    <row r="226" ht="20.100000000000001" customHeight="1" x14ac:dyDescent="0.25"/>
    <row r="227" ht="20.100000000000001" customHeight="1" x14ac:dyDescent="0.25"/>
    <row r="228" ht="20.100000000000001" customHeight="1" x14ac:dyDescent="0.25"/>
    <row r="229" ht="20.100000000000001" customHeight="1" x14ac:dyDescent="0.25"/>
    <row r="230" ht="20.100000000000001" customHeight="1" x14ac:dyDescent="0.25"/>
    <row r="231" ht="20.100000000000001" customHeight="1" x14ac:dyDescent="0.25"/>
    <row r="232" ht="20.100000000000001" customHeight="1" x14ac:dyDescent="0.25"/>
    <row r="233" ht="20.100000000000001" customHeight="1" x14ac:dyDescent="0.25"/>
    <row r="234" ht="20.100000000000001" customHeight="1" x14ac:dyDescent="0.25"/>
    <row r="235" ht="20.100000000000001" customHeight="1" x14ac:dyDescent="0.25"/>
    <row r="236" ht="20.100000000000001" customHeight="1" x14ac:dyDescent="0.25"/>
    <row r="237" ht="20.100000000000001" customHeight="1" x14ac:dyDescent="0.25"/>
    <row r="238" ht="20.100000000000001" customHeight="1" x14ac:dyDescent="0.25"/>
    <row r="239" ht="20.100000000000001" customHeight="1" x14ac:dyDescent="0.25"/>
    <row r="240" ht="20.100000000000001" customHeight="1" x14ac:dyDescent="0.25"/>
    <row r="241" ht="20.100000000000001" customHeight="1" x14ac:dyDescent="0.25"/>
    <row r="242" ht="20.100000000000001" customHeight="1" x14ac:dyDescent="0.25"/>
    <row r="243" ht="20.100000000000001" customHeight="1" x14ac:dyDescent="0.25"/>
    <row r="244" ht="20.100000000000001" customHeight="1" x14ac:dyDescent="0.25"/>
    <row r="245" ht="20.100000000000001" customHeight="1" x14ac:dyDescent="0.25"/>
    <row r="246" ht="20.100000000000001" customHeight="1" x14ac:dyDescent="0.25"/>
    <row r="247" ht="20.100000000000001" customHeight="1" x14ac:dyDescent="0.25"/>
    <row r="248" ht="20.100000000000001" customHeight="1" x14ac:dyDescent="0.25"/>
    <row r="249" ht="20.100000000000001" customHeight="1" x14ac:dyDescent="0.25"/>
    <row r="250" ht="20.100000000000001" customHeight="1" x14ac:dyDescent="0.25"/>
    <row r="251" ht="20.100000000000001" customHeight="1" x14ac:dyDescent="0.25"/>
    <row r="252" ht="20.100000000000001" customHeight="1" x14ac:dyDescent="0.25"/>
    <row r="253" ht="20.100000000000001" customHeight="1" x14ac:dyDescent="0.25"/>
    <row r="254" ht="20.100000000000001" customHeight="1" x14ac:dyDescent="0.25"/>
    <row r="255" ht="20.100000000000001" customHeight="1" x14ac:dyDescent="0.25"/>
    <row r="256" ht="20.100000000000001" customHeight="1" x14ac:dyDescent="0.25"/>
    <row r="257" ht="20.100000000000001" customHeight="1" x14ac:dyDescent="0.25"/>
    <row r="258" ht="20.100000000000001" customHeight="1" x14ac:dyDescent="0.25"/>
    <row r="259" ht="20.100000000000001" customHeight="1" x14ac:dyDescent="0.25"/>
    <row r="260" ht="20.100000000000001" customHeight="1" x14ac:dyDescent="0.25"/>
    <row r="261" ht="20.100000000000001" customHeight="1" x14ac:dyDescent="0.25"/>
    <row r="262" ht="20.100000000000001" customHeight="1" x14ac:dyDescent="0.25"/>
    <row r="263" ht="20.100000000000001" customHeight="1" x14ac:dyDescent="0.25"/>
    <row r="264" ht="20.100000000000001" customHeight="1" x14ac:dyDescent="0.25"/>
    <row r="265" ht="20.100000000000001" customHeight="1" x14ac:dyDescent="0.25"/>
    <row r="266" ht="20.100000000000001" customHeight="1" x14ac:dyDescent="0.25"/>
    <row r="267" ht="20.100000000000001" customHeight="1" x14ac:dyDescent="0.25"/>
    <row r="268" ht="20.100000000000001" customHeight="1" x14ac:dyDescent="0.25"/>
    <row r="269" ht="20.100000000000001" customHeight="1" x14ac:dyDescent="0.25"/>
    <row r="270" ht="20.100000000000001" customHeight="1" x14ac:dyDescent="0.25"/>
    <row r="271" ht="20.100000000000001" customHeight="1" x14ac:dyDescent="0.25"/>
    <row r="272" ht="20.100000000000001" customHeight="1" x14ac:dyDescent="0.25"/>
    <row r="273" ht="20.100000000000001" customHeight="1" x14ac:dyDescent="0.25"/>
    <row r="274" ht="20.100000000000001" customHeight="1" x14ac:dyDescent="0.25"/>
    <row r="275" ht="20.100000000000001" customHeight="1" x14ac:dyDescent="0.25"/>
    <row r="276" ht="20.100000000000001" customHeight="1" x14ac:dyDescent="0.25"/>
    <row r="277" ht="20.100000000000001" customHeight="1" x14ac:dyDescent="0.25"/>
    <row r="278" ht="20.100000000000001" customHeight="1" x14ac:dyDescent="0.25"/>
    <row r="279" ht="20.100000000000001" customHeight="1" x14ac:dyDescent="0.25"/>
    <row r="280" ht="20.100000000000001" customHeight="1" x14ac:dyDescent="0.25"/>
    <row r="281" ht="20.100000000000001" customHeight="1" x14ac:dyDescent="0.25"/>
    <row r="282" ht="20.100000000000001" customHeight="1" x14ac:dyDescent="0.25"/>
    <row r="283" ht="20.100000000000001" customHeight="1" x14ac:dyDescent="0.25"/>
    <row r="284" ht="20.100000000000001" customHeight="1" x14ac:dyDescent="0.25"/>
    <row r="285" ht="20.100000000000001" customHeight="1" x14ac:dyDescent="0.25"/>
    <row r="286" ht="20.100000000000001" customHeight="1" x14ac:dyDescent="0.25"/>
    <row r="287" ht="20.100000000000001" customHeight="1" x14ac:dyDescent="0.25"/>
    <row r="288" ht="20.100000000000001" customHeight="1" x14ac:dyDescent="0.25"/>
    <row r="289" ht="20.100000000000001" customHeight="1" x14ac:dyDescent="0.25"/>
    <row r="290" ht="20.100000000000001" customHeight="1" x14ac:dyDescent="0.25"/>
    <row r="291" ht="20.100000000000001" customHeight="1" x14ac:dyDescent="0.25"/>
    <row r="292" ht="20.100000000000001" customHeight="1" x14ac:dyDescent="0.25"/>
    <row r="293" ht="20.100000000000001" customHeight="1" x14ac:dyDescent="0.25"/>
    <row r="294" ht="20.100000000000001" customHeight="1" x14ac:dyDescent="0.25"/>
    <row r="295" ht="20.100000000000001" customHeight="1" x14ac:dyDescent="0.25"/>
    <row r="296" ht="20.100000000000001" customHeight="1" x14ac:dyDescent="0.25"/>
    <row r="297" ht="20.100000000000001" customHeight="1" x14ac:dyDescent="0.25"/>
    <row r="298" ht="20.100000000000001" customHeight="1" x14ac:dyDescent="0.25"/>
    <row r="299" ht="20.100000000000001" customHeight="1" x14ac:dyDescent="0.25"/>
    <row r="300" ht="20.100000000000001" customHeight="1" x14ac:dyDescent="0.25"/>
    <row r="301" ht="20.100000000000001" customHeight="1" x14ac:dyDescent="0.25"/>
    <row r="302" ht="20.100000000000001" customHeight="1" x14ac:dyDescent="0.25"/>
    <row r="303" ht="20.100000000000001" customHeight="1" x14ac:dyDescent="0.25"/>
    <row r="304" ht="20.100000000000001" customHeight="1" x14ac:dyDescent="0.25"/>
    <row r="305" ht="20.100000000000001" customHeight="1" x14ac:dyDescent="0.25"/>
    <row r="306" ht="20.100000000000001" customHeight="1" x14ac:dyDescent="0.25"/>
    <row r="307" ht="20.100000000000001" customHeight="1" x14ac:dyDescent="0.25"/>
    <row r="308" ht="20.100000000000001" customHeight="1" x14ac:dyDescent="0.25"/>
    <row r="309" ht="20.100000000000001" customHeight="1" x14ac:dyDescent="0.25"/>
    <row r="310" ht="20.100000000000001" customHeight="1" x14ac:dyDescent="0.25"/>
    <row r="311" ht="20.100000000000001" customHeight="1" x14ac:dyDescent="0.25"/>
    <row r="312" ht="20.100000000000001" customHeight="1" x14ac:dyDescent="0.25"/>
    <row r="313" ht="20.100000000000001" customHeight="1" x14ac:dyDescent="0.25"/>
    <row r="314" ht="20.100000000000001" customHeight="1" x14ac:dyDescent="0.25"/>
    <row r="315" ht="20.100000000000001" customHeight="1" x14ac:dyDescent="0.25"/>
    <row r="316" ht="20.100000000000001" customHeight="1" x14ac:dyDescent="0.25"/>
    <row r="317" ht="20.100000000000001" customHeight="1" x14ac:dyDescent="0.25"/>
    <row r="318" ht="20.100000000000001" customHeight="1" x14ac:dyDescent="0.25"/>
    <row r="319" ht="20.100000000000001" customHeight="1" x14ac:dyDescent="0.25"/>
    <row r="320" ht="20.100000000000001" customHeight="1" x14ac:dyDescent="0.25"/>
    <row r="321" ht="20.100000000000001" customHeight="1" x14ac:dyDescent="0.25"/>
    <row r="322" ht="20.100000000000001" customHeight="1" x14ac:dyDescent="0.25"/>
    <row r="323" ht="20.100000000000001" customHeight="1" x14ac:dyDescent="0.25"/>
    <row r="324" ht="20.100000000000001" customHeight="1" x14ac:dyDescent="0.25"/>
    <row r="325" ht="20.100000000000001" customHeight="1" x14ac:dyDescent="0.25"/>
    <row r="326" ht="20.100000000000001" customHeight="1" x14ac:dyDescent="0.25"/>
    <row r="327" ht="20.100000000000001" customHeight="1" x14ac:dyDescent="0.25"/>
    <row r="328" ht="20.100000000000001" customHeight="1" x14ac:dyDescent="0.25"/>
    <row r="329" ht="20.100000000000001" customHeight="1" x14ac:dyDescent="0.25"/>
    <row r="330" ht="20.100000000000001" customHeight="1" x14ac:dyDescent="0.25"/>
    <row r="331" ht="20.100000000000001" customHeight="1" x14ac:dyDescent="0.25"/>
    <row r="332" ht="20.100000000000001" customHeight="1" x14ac:dyDescent="0.25"/>
    <row r="333" ht="20.100000000000001" customHeight="1" x14ac:dyDescent="0.25"/>
    <row r="334" ht="20.100000000000001" customHeight="1" x14ac:dyDescent="0.25"/>
    <row r="335" ht="20.100000000000001" customHeight="1" x14ac:dyDescent="0.25"/>
    <row r="336" ht="20.100000000000001" customHeight="1" x14ac:dyDescent="0.25"/>
    <row r="337" ht="20.100000000000001" customHeight="1" x14ac:dyDescent="0.25"/>
    <row r="338" ht="20.100000000000001" customHeight="1" x14ac:dyDescent="0.25"/>
    <row r="339" ht="20.100000000000001" customHeight="1" x14ac:dyDescent="0.25"/>
    <row r="340" ht="20.100000000000001" customHeight="1" x14ac:dyDescent="0.25"/>
    <row r="341" ht="20.100000000000001" customHeight="1" x14ac:dyDescent="0.25"/>
    <row r="342" ht="20.100000000000001" customHeight="1" x14ac:dyDescent="0.25"/>
    <row r="343" ht="20.100000000000001" customHeight="1" x14ac:dyDescent="0.25"/>
    <row r="344" ht="20.100000000000001" customHeight="1" x14ac:dyDescent="0.25"/>
    <row r="345" ht="20.100000000000001" customHeight="1" x14ac:dyDescent="0.25"/>
    <row r="346" ht="20.100000000000001" customHeight="1" x14ac:dyDescent="0.25"/>
    <row r="347" ht="20.100000000000001" customHeight="1" x14ac:dyDescent="0.25"/>
    <row r="348" ht="20.100000000000001" customHeight="1" x14ac:dyDescent="0.25"/>
    <row r="349" ht="20.100000000000001" customHeight="1" x14ac:dyDescent="0.25"/>
    <row r="350" ht="20.100000000000001" customHeight="1" x14ac:dyDescent="0.25"/>
    <row r="351" ht="20.100000000000001" customHeight="1" x14ac:dyDescent="0.25"/>
    <row r="352"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sheetData>
  <sheetProtection password="CC1D" sheet="1" objects="1" scenarios="1"/>
  <mergeCells count="22">
    <mergeCell ref="A45:AC49"/>
    <mergeCell ref="A37:AC40"/>
    <mergeCell ref="H8:AC8"/>
    <mergeCell ref="F34:M34"/>
    <mergeCell ref="N42:AC42"/>
    <mergeCell ref="A26:AD26"/>
    <mergeCell ref="W32:Y32"/>
    <mergeCell ref="AA32:AC32"/>
    <mergeCell ref="T34:AC34"/>
    <mergeCell ref="T14:AC14"/>
    <mergeCell ref="F32:T32"/>
    <mergeCell ref="AG1:AW1"/>
    <mergeCell ref="AG2:AW2"/>
    <mergeCell ref="H6:AC6"/>
    <mergeCell ref="F30:AC30"/>
    <mergeCell ref="F28:AC28"/>
    <mergeCell ref="H12:AC12"/>
    <mergeCell ref="A13:G13"/>
    <mergeCell ref="A15:AD15"/>
    <mergeCell ref="I10:P10"/>
    <mergeCell ref="T10:AC10"/>
    <mergeCell ref="I14:P14"/>
  </mergeCells>
  <printOptions horizontalCentered="1" verticalCentered="1"/>
  <pageMargins left="0.25" right="0.25" top="0.5" bottom="0.5" header="0.3" footer="0.3"/>
  <pageSetup scale="8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Y867"/>
  <sheetViews>
    <sheetView zoomScaleNormal="100" workbookViewId="0">
      <pane ySplit="6" topLeftCell="A7" activePane="bottomLeft" state="frozen"/>
      <selection activeCell="AA50" sqref="AA50:AC50"/>
      <selection pane="bottomLeft" activeCell="AP138" sqref="AP138"/>
    </sheetView>
  </sheetViews>
  <sheetFormatPr defaultRowHeight="15" x14ac:dyDescent="0.25"/>
  <cols>
    <col min="1" max="4" width="3.7109375" style="1" customWidth="1"/>
    <col min="5" max="5" width="3.7109375" style="6" customWidth="1"/>
    <col min="6" max="116" width="3.7109375" style="1" customWidth="1"/>
    <col min="117" max="16384" width="9.140625" style="1"/>
  </cols>
  <sheetData>
    <row r="1" spans="1:51" ht="20.100000000000001" customHeight="1" x14ac:dyDescent="0.3">
      <c r="E1" s="1"/>
      <c r="AC1" s="18" t="s">
        <v>69</v>
      </c>
      <c r="AI1" s="138" t="s">
        <v>196</v>
      </c>
      <c r="AJ1" s="138"/>
      <c r="AK1" s="138"/>
      <c r="AL1" s="138"/>
      <c r="AM1" s="138"/>
      <c r="AN1" s="138"/>
      <c r="AO1" s="138"/>
      <c r="AP1" s="138"/>
      <c r="AQ1" s="138"/>
      <c r="AR1" s="138"/>
      <c r="AS1" s="138"/>
      <c r="AT1" s="138"/>
      <c r="AU1" s="138"/>
      <c r="AV1" s="138"/>
      <c r="AW1" s="138"/>
      <c r="AX1" s="138"/>
      <c r="AY1" s="138"/>
    </row>
    <row r="2" spans="1:51" ht="20.100000000000001" customHeight="1" x14ac:dyDescent="0.35">
      <c r="E2" s="1"/>
      <c r="AC2" s="18" t="s">
        <v>70</v>
      </c>
      <c r="AI2" s="139" t="s">
        <v>194</v>
      </c>
      <c r="AJ2" s="140"/>
      <c r="AK2" s="140"/>
      <c r="AL2" s="140"/>
      <c r="AM2" s="140"/>
      <c r="AN2" s="140"/>
      <c r="AO2" s="140"/>
      <c r="AP2" s="140"/>
      <c r="AQ2" s="140"/>
      <c r="AR2" s="140"/>
      <c r="AS2" s="140"/>
      <c r="AT2" s="140"/>
      <c r="AU2" s="140"/>
      <c r="AV2" s="140"/>
      <c r="AW2" s="140"/>
      <c r="AX2" s="140"/>
      <c r="AY2" s="141"/>
    </row>
    <row r="3" spans="1:51" ht="20.100000000000001" customHeight="1" x14ac:dyDescent="0.3">
      <c r="E3" s="1"/>
      <c r="AC3" s="19"/>
    </row>
    <row r="4" spans="1:51" ht="20.100000000000001" customHeight="1" x14ac:dyDescent="0.25">
      <c r="E4" s="1"/>
      <c r="W4" s="2"/>
      <c r="X4" s="2"/>
      <c r="Y4" s="2"/>
    </row>
    <row r="5" spans="1:51" ht="20.100000000000001" customHeight="1" x14ac:dyDescent="0.25">
      <c r="E5" s="1"/>
    </row>
    <row r="6" spans="1:51" ht="20.100000000000001" customHeight="1" x14ac:dyDescent="0.3">
      <c r="A6" s="20" t="s">
        <v>0</v>
      </c>
      <c r="H6" s="172" t="str">
        <f>IF(+'Pre-Qualifying Questionnaire'!H6:AC6&gt;0,+'Pre-Qualifying Questionnaire'!H6:AC6," ")</f>
        <v>David Whitney Building</v>
      </c>
      <c r="I6" s="172"/>
      <c r="J6" s="172"/>
      <c r="K6" s="172"/>
      <c r="L6" s="172"/>
      <c r="M6" s="172"/>
      <c r="N6" s="172"/>
      <c r="O6" s="172"/>
      <c r="P6" s="172"/>
      <c r="Q6" s="172"/>
      <c r="R6" s="172"/>
      <c r="S6" s="172"/>
      <c r="T6" s="172"/>
      <c r="U6" s="172"/>
      <c r="V6" s="172"/>
      <c r="W6" s="172"/>
      <c r="X6" s="172"/>
      <c r="Y6" s="172"/>
      <c r="Z6" s="172"/>
      <c r="AA6" s="172"/>
      <c r="AB6" s="172"/>
      <c r="AC6" s="172"/>
    </row>
    <row r="7" spans="1:51" ht="20.100000000000001" customHeight="1" x14ac:dyDescent="0.3">
      <c r="A7" s="4"/>
      <c r="H7" s="2"/>
      <c r="I7" s="2"/>
      <c r="J7" s="2"/>
      <c r="K7" s="2"/>
      <c r="L7" s="2"/>
      <c r="M7" s="2"/>
      <c r="N7" s="2"/>
      <c r="O7" s="2"/>
      <c r="P7" s="2"/>
      <c r="Q7" s="2"/>
      <c r="R7" s="2"/>
      <c r="S7" s="2"/>
      <c r="T7" s="2"/>
      <c r="U7" s="2"/>
      <c r="V7" s="2"/>
      <c r="W7" s="2"/>
      <c r="X7" s="2"/>
      <c r="Y7" s="2"/>
    </row>
    <row r="8" spans="1:51" ht="20.100000000000001" customHeight="1" x14ac:dyDescent="0.3">
      <c r="A8" s="21" t="s">
        <v>62</v>
      </c>
      <c r="H8" s="2"/>
      <c r="I8" s="2"/>
      <c r="J8" s="2"/>
      <c r="K8" s="2"/>
      <c r="L8" s="2"/>
      <c r="M8" s="2"/>
      <c r="N8" s="2"/>
      <c r="O8" s="2"/>
      <c r="P8" s="2"/>
      <c r="Q8" s="2"/>
      <c r="R8" s="2"/>
      <c r="S8" s="2"/>
      <c r="T8" s="2"/>
      <c r="U8" s="2"/>
      <c r="V8" s="2"/>
      <c r="W8" s="2"/>
      <c r="X8" s="2"/>
      <c r="Y8" s="2"/>
      <c r="Z8" s="3" t="s">
        <v>138</v>
      </c>
      <c r="AA8" s="69">
        <v>4</v>
      </c>
      <c r="AB8" s="70">
        <v>18</v>
      </c>
      <c r="AC8" s="71">
        <v>14</v>
      </c>
    </row>
    <row r="9" spans="1:51" ht="20.100000000000001" customHeight="1" x14ac:dyDescent="0.25">
      <c r="B9" s="10"/>
      <c r="E9" s="6" t="s">
        <v>28</v>
      </c>
      <c r="F9" s="172" t="str">
        <f>IF(+'Pre-Qualifying Questionnaire'!F28:AC28&gt;0,+'Pre-Qualifying Questionnaire'!F28:AC28," ")</f>
        <v>The Roxbury Group - Vince Dattilo</v>
      </c>
      <c r="G9" s="172"/>
      <c r="H9" s="172"/>
      <c r="I9" s="172"/>
      <c r="J9" s="172"/>
      <c r="K9" s="172"/>
      <c r="L9" s="172"/>
      <c r="M9" s="172"/>
      <c r="N9" s="172"/>
      <c r="O9" s="172"/>
      <c r="P9" s="172"/>
      <c r="Q9" s="172"/>
      <c r="R9" s="172"/>
      <c r="S9" s="172"/>
      <c r="T9" s="172"/>
      <c r="U9" s="172"/>
      <c r="V9" s="172"/>
      <c r="W9" s="172"/>
      <c r="X9" s="172"/>
      <c r="Y9" s="172"/>
      <c r="Z9" s="172"/>
      <c r="AA9" s="172"/>
      <c r="AB9" s="172"/>
      <c r="AC9" s="172"/>
    </row>
    <row r="10" spans="1:51" ht="9.9499999999999993" customHeight="1" x14ac:dyDescent="0.25"/>
    <row r="11" spans="1:51" ht="20.100000000000001" customHeight="1" x14ac:dyDescent="0.25">
      <c r="E11" s="6" t="s">
        <v>63</v>
      </c>
      <c r="F11" s="172" t="str">
        <f>IF(+'Pre-Qualifying Questionnaire'!F30:AC30&gt;0,+'Pre-Qualifying Questionnaire'!F30:AC30," ")</f>
        <v>1553 Woodward Avenue</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row>
    <row r="12" spans="1:51" ht="9.9499999999999993" customHeight="1" x14ac:dyDescent="0.25"/>
    <row r="13" spans="1:51" ht="20.100000000000001" customHeight="1" x14ac:dyDescent="0.25">
      <c r="E13" s="6" t="s">
        <v>30</v>
      </c>
      <c r="F13" s="172" t="str">
        <f>IF(+'Pre-Qualifying Questionnaire'!F32:T32&gt;0,+'Pre-Qualifying Questionnaire'!F32:T32," ")</f>
        <v>Detroit</v>
      </c>
      <c r="G13" s="172"/>
      <c r="H13" s="172"/>
      <c r="I13" s="172"/>
      <c r="J13" s="172"/>
      <c r="K13" s="172"/>
      <c r="L13" s="172"/>
      <c r="M13" s="172"/>
      <c r="N13" s="172"/>
      <c r="O13" s="172"/>
      <c r="P13" s="172"/>
      <c r="Q13" s="172"/>
      <c r="R13" s="172"/>
      <c r="S13" s="172"/>
      <c r="T13" s="172"/>
      <c r="U13" s="173" t="s">
        <v>13</v>
      </c>
      <c r="V13" s="173"/>
      <c r="W13" s="176" t="str">
        <f>IF(+'Pre-Qualifying Questionnaire'!W32:Y32&gt;0,+'Pre-Qualifying Questionnaire'!W32:Y32," ")</f>
        <v xml:space="preserve">MI </v>
      </c>
      <c r="X13" s="176"/>
      <c r="Y13" s="176"/>
      <c r="Z13" s="121" t="s">
        <v>14</v>
      </c>
      <c r="AA13" s="176">
        <f>IF(+'Pre-Qualifying Questionnaire'!AA32:AC32&gt;0,+'Pre-Qualifying Questionnaire'!AA32:AC32," ")</f>
        <v>48226</v>
      </c>
      <c r="AB13" s="176"/>
      <c r="AC13" s="176"/>
    </row>
    <row r="14" spans="1:51" ht="9.9499999999999993" customHeight="1" x14ac:dyDescent="0.25"/>
    <row r="15" spans="1:51" ht="20.100000000000001" customHeight="1" x14ac:dyDescent="0.25">
      <c r="E15" s="6" t="s">
        <v>64</v>
      </c>
      <c r="F15" s="172" t="str">
        <f>IF(+'Pre-Qualifying Questionnaire'!F34:M34&gt;0,+'Pre-Qualifying Questionnaire'!F34:M34," ")</f>
        <v>248-496-9099</v>
      </c>
      <c r="G15" s="172"/>
      <c r="H15" s="172"/>
      <c r="I15" s="172"/>
      <c r="J15" s="172"/>
      <c r="K15" s="172"/>
      <c r="L15" s="172"/>
      <c r="M15" s="172"/>
      <c r="N15" s="172"/>
      <c r="O15" s="172"/>
      <c r="P15" s="172"/>
      <c r="Q15" s="22"/>
      <c r="S15" s="6" t="s">
        <v>67</v>
      </c>
      <c r="T15" s="178" t="str">
        <f>IF(+'Pre-Qualifying Questionnaire'!T34:AC34&gt;0,+'Pre-Qualifying Questionnaire'!T34:AC34," ")</f>
        <v>vdattilo@roxburygroup.com</v>
      </c>
      <c r="U15" s="178"/>
      <c r="V15" s="178"/>
      <c r="W15" s="178"/>
      <c r="X15" s="178"/>
      <c r="Y15" s="178"/>
      <c r="Z15" s="178"/>
      <c r="AA15" s="178"/>
      <c r="AB15" s="178"/>
      <c r="AC15" s="178"/>
    </row>
    <row r="16" spans="1:51" ht="9.9499999999999993" customHeight="1" x14ac:dyDescent="0.25">
      <c r="F16" s="22"/>
      <c r="G16" s="22"/>
      <c r="H16" s="22"/>
      <c r="I16" s="22"/>
      <c r="J16" s="22"/>
      <c r="K16" s="22"/>
      <c r="L16" s="22"/>
      <c r="M16" s="22"/>
      <c r="N16" s="22"/>
      <c r="O16" s="22"/>
      <c r="P16" s="22"/>
      <c r="Q16" s="22"/>
      <c r="R16" s="9"/>
      <c r="S16" s="23"/>
      <c r="T16" s="2"/>
      <c r="U16" s="2"/>
      <c r="V16" s="2"/>
      <c r="W16" s="2"/>
      <c r="X16" s="2"/>
      <c r="Y16" s="2"/>
      <c r="Z16" s="2"/>
      <c r="AA16" s="2"/>
      <c r="AB16" s="2"/>
      <c r="AC16" s="2"/>
    </row>
    <row r="17" spans="1:29" ht="20.100000000000001" customHeight="1" x14ac:dyDescent="0.3">
      <c r="A17" s="21" t="s">
        <v>137</v>
      </c>
      <c r="H17" s="2"/>
      <c r="I17" s="2"/>
      <c r="J17" s="2"/>
      <c r="K17" s="2"/>
      <c r="L17" s="2"/>
      <c r="M17" s="2"/>
      <c r="N17" s="2"/>
      <c r="O17" s="2"/>
      <c r="P17" s="2"/>
      <c r="Q17" s="2"/>
      <c r="R17" s="2"/>
      <c r="S17" s="2"/>
      <c r="T17" s="2"/>
      <c r="U17" s="2"/>
      <c r="V17" s="2"/>
      <c r="W17" s="2"/>
      <c r="X17" s="2"/>
      <c r="Y17" s="2"/>
      <c r="Z17" s="2"/>
      <c r="AA17" s="2"/>
      <c r="AB17" s="2"/>
      <c r="AC17" s="2"/>
    </row>
    <row r="18" spans="1:29" ht="20.100000000000001" customHeight="1" x14ac:dyDescent="0.25">
      <c r="B18" s="10"/>
      <c r="E18" s="6" t="s">
        <v>65</v>
      </c>
      <c r="F18" s="142" t="s">
        <v>209</v>
      </c>
      <c r="G18" s="142"/>
      <c r="H18" s="142"/>
      <c r="I18" s="142"/>
      <c r="J18" s="142"/>
      <c r="K18" s="142"/>
      <c r="L18" s="142"/>
      <c r="M18" s="142"/>
      <c r="N18" s="142"/>
      <c r="O18" s="142"/>
      <c r="P18" s="142"/>
      <c r="Q18" s="142"/>
      <c r="R18" s="142"/>
      <c r="S18" s="142"/>
      <c r="T18" s="142"/>
      <c r="U18" s="142"/>
      <c r="V18" s="142"/>
      <c r="W18" s="142"/>
      <c r="X18" s="142"/>
      <c r="Y18" s="142"/>
      <c r="Z18" s="142"/>
      <c r="AA18" s="142"/>
      <c r="AB18" s="142"/>
      <c r="AC18" s="142"/>
    </row>
    <row r="19" spans="1:29" ht="9.9499999999999993" customHeight="1" x14ac:dyDescent="0.25"/>
    <row r="20" spans="1:29" ht="20.100000000000001" customHeight="1" x14ac:dyDescent="0.25">
      <c r="E20" s="6" t="s">
        <v>66</v>
      </c>
      <c r="F20" s="142" t="s">
        <v>216</v>
      </c>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row>
    <row r="21" spans="1:29" ht="9.9499999999999993" customHeight="1" x14ac:dyDescent="0.25"/>
    <row r="22" spans="1:29" ht="20.100000000000001" customHeight="1" x14ac:dyDescent="0.25">
      <c r="E22" s="6" t="s">
        <v>30</v>
      </c>
      <c r="F22" s="142" t="s">
        <v>211</v>
      </c>
      <c r="G22" s="142"/>
      <c r="H22" s="142"/>
      <c r="I22" s="142"/>
      <c r="J22" s="142"/>
      <c r="K22" s="142"/>
      <c r="L22" s="142"/>
      <c r="M22" s="142"/>
      <c r="N22" s="142"/>
      <c r="O22" s="142"/>
      <c r="P22" s="142"/>
      <c r="Q22" s="142"/>
      <c r="R22" s="142"/>
      <c r="S22" s="142"/>
      <c r="T22" s="142"/>
      <c r="U22" s="173" t="s">
        <v>13</v>
      </c>
      <c r="V22" s="173"/>
      <c r="W22" s="142" t="s">
        <v>201</v>
      </c>
      <c r="X22" s="142"/>
      <c r="Y22" s="142"/>
      <c r="Z22" s="121" t="s">
        <v>14</v>
      </c>
      <c r="AA22" s="142">
        <v>48226</v>
      </c>
      <c r="AB22" s="142"/>
      <c r="AC22" s="142"/>
    </row>
    <row r="23" spans="1:29" ht="9.9499999999999993" customHeight="1" x14ac:dyDescent="0.25"/>
    <row r="24" spans="1:29" ht="20.100000000000001" customHeight="1" x14ac:dyDescent="0.25">
      <c r="E24" s="6" t="s">
        <v>68</v>
      </c>
      <c r="F24" s="142" t="s">
        <v>217</v>
      </c>
      <c r="G24" s="142"/>
      <c r="H24" s="142"/>
      <c r="I24" s="142"/>
      <c r="J24" s="142"/>
      <c r="K24" s="142"/>
      <c r="L24" s="142"/>
      <c r="M24" s="142"/>
      <c r="N24" s="142"/>
      <c r="O24" s="142"/>
      <c r="P24" s="142"/>
      <c r="Q24" s="22"/>
      <c r="S24" s="6" t="s">
        <v>67</v>
      </c>
      <c r="T24" s="174" t="s">
        <v>213</v>
      </c>
      <c r="U24" s="175"/>
      <c r="V24" s="175"/>
      <c r="W24" s="175"/>
      <c r="X24" s="175"/>
      <c r="Y24" s="175"/>
      <c r="Z24" s="175"/>
      <c r="AA24" s="175"/>
      <c r="AB24" s="175"/>
      <c r="AC24" s="175"/>
    </row>
    <row r="25" spans="1:29" ht="20.100000000000001" customHeight="1" thickBot="1" x14ac:dyDescent="0.3">
      <c r="F25" s="22"/>
      <c r="G25" s="22"/>
      <c r="H25" s="22"/>
      <c r="I25" s="22"/>
      <c r="J25" s="22"/>
      <c r="K25" s="22"/>
      <c r="L25" s="22"/>
      <c r="M25" s="22"/>
      <c r="N25" s="22"/>
      <c r="O25" s="22"/>
      <c r="P25" s="22"/>
      <c r="Q25" s="22"/>
      <c r="R25" s="9"/>
      <c r="S25" s="23"/>
      <c r="T25" s="2"/>
      <c r="U25" s="2"/>
      <c r="V25" s="2"/>
      <c r="W25" s="2"/>
      <c r="X25" s="2"/>
      <c r="Y25" s="2"/>
      <c r="Z25" s="2"/>
      <c r="AA25" s="2"/>
      <c r="AB25" s="2"/>
      <c r="AC25" s="2"/>
    </row>
    <row r="26" spans="1:29" ht="20.100000000000001" customHeight="1" x14ac:dyDescent="0.25">
      <c r="A26" s="24"/>
      <c r="B26" s="24"/>
      <c r="C26" s="24"/>
      <c r="D26" s="24"/>
      <c r="E26" s="25"/>
      <c r="F26" s="24"/>
      <c r="G26" s="24"/>
      <c r="H26" s="24"/>
      <c r="I26" s="24"/>
      <c r="J26" s="24"/>
      <c r="K26" s="24"/>
      <c r="L26" s="24"/>
      <c r="M26" s="24"/>
      <c r="N26" s="24"/>
      <c r="O26" s="24"/>
      <c r="P26" s="24"/>
      <c r="Q26" s="24"/>
      <c r="R26" s="24"/>
      <c r="S26" s="24"/>
      <c r="T26" s="24"/>
      <c r="U26" s="24"/>
      <c r="V26" s="24"/>
      <c r="W26" s="24"/>
      <c r="X26" s="24"/>
      <c r="Y26" s="24"/>
      <c r="Z26" s="24"/>
      <c r="AA26" s="24"/>
      <c r="AB26" s="24"/>
      <c r="AC26" s="24"/>
    </row>
    <row r="27" spans="1:29" ht="20.100000000000001" customHeight="1" x14ac:dyDescent="0.3">
      <c r="A27" s="20" t="s">
        <v>60</v>
      </c>
      <c r="E27" s="1"/>
      <c r="H27" s="172" t="str">
        <f>IF(+'Pre-Qualifying Questionnaire'!H8:AC8&gt;0,+'Pre-Qualifying Questionnaire'!H8:AC8," ")</f>
        <v>Dan Phillips</v>
      </c>
      <c r="I27" s="172"/>
      <c r="J27" s="172"/>
      <c r="K27" s="172"/>
      <c r="L27" s="172"/>
      <c r="M27" s="172"/>
      <c r="N27" s="172"/>
      <c r="O27" s="172"/>
      <c r="P27" s="172"/>
      <c r="Q27" s="172"/>
      <c r="R27" s="172"/>
      <c r="S27" s="172"/>
      <c r="T27" s="172"/>
      <c r="U27" s="172"/>
      <c r="V27" s="172"/>
      <c r="W27" s="172"/>
      <c r="X27" s="172"/>
      <c r="Y27" s="172"/>
      <c r="Z27" s="172"/>
      <c r="AA27" s="172"/>
    </row>
    <row r="28" spans="1:29" ht="9.9499999999999993" customHeight="1" x14ac:dyDescent="0.25">
      <c r="E28" s="1"/>
    </row>
    <row r="29" spans="1:29" ht="20.100000000000001" customHeight="1" x14ac:dyDescent="0.25">
      <c r="A29" s="5" t="s">
        <v>1</v>
      </c>
      <c r="E29" s="1"/>
      <c r="I29" s="172" t="str">
        <f>IF(+'Pre-Qualifying Questionnaire'!I10:P10&gt;0,+'Pre-Qualifying Questionnaire'!I10:P10," ")</f>
        <v>734-223-9539</v>
      </c>
      <c r="J29" s="172"/>
      <c r="K29" s="172"/>
      <c r="L29" s="172"/>
      <c r="M29" s="172"/>
      <c r="N29" s="172"/>
      <c r="O29" s="172"/>
      <c r="P29" s="172"/>
      <c r="Q29" s="172"/>
      <c r="R29" s="172"/>
      <c r="S29" s="172"/>
      <c r="T29" s="172"/>
      <c r="U29" s="2"/>
      <c r="V29" s="2"/>
      <c r="W29" s="2"/>
      <c r="X29" s="3"/>
      <c r="Z29" s="6" t="s">
        <v>33</v>
      </c>
      <c r="AA29" s="69">
        <v>4</v>
      </c>
      <c r="AB29" s="70">
        <v>21</v>
      </c>
      <c r="AC29" s="71">
        <v>14</v>
      </c>
    </row>
    <row r="30" spans="1:29" ht="9.9499999999999993" customHeight="1" x14ac:dyDescent="0.25">
      <c r="E30" s="1"/>
    </row>
    <row r="31" spans="1:29" ht="20.100000000000001" customHeight="1" x14ac:dyDescent="0.3">
      <c r="A31" s="20" t="s">
        <v>59</v>
      </c>
      <c r="E31" s="1"/>
      <c r="H31" s="172" t="str">
        <f>IF(+'Pre-Qualifying Questionnaire'!H12:AC12&gt;0,+'Pre-Qualifying Questionnaire'!H12:AC12," ")</f>
        <v>TBD</v>
      </c>
      <c r="I31" s="172"/>
      <c r="J31" s="172"/>
      <c r="K31" s="172"/>
      <c r="L31" s="172"/>
      <c r="M31" s="172"/>
      <c r="N31" s="172"/>
      <c r="O31" s="172"/>
      <c r="P31" s="172"/>
      <c r="Q31" s="172"/>
      <c r="R31" s="172"/>
      <c r="S31" s="172"/>
      <c r="T31" s="172"/>
      <c r="U31" s="172"/>
      <c r="V31" s="172"/>
      <c r="W31" s="172"/>
      <c r="X31" s="172"/>
      <c r="Y31" s="172"/>
      <c r="Z31" s="172"/>
      <c r="AA31" s="172"/>
    </row>
    <row r="32" spans="1:29" ht="9.9499999999999993" customHeight="1" x14ac:dyDescent="0.25">
      <c r="A32" s="143"/>
      <c r="B32" s="143"/>
      <c r="C32" s="143"/>
      <c r="D32" s="143"/>
      <c r="E32" s="143"/>
      <c r="F32" s="143"/>
      <c r="G32" s="143"/>
    </row>
    <row r="33" spans="1:29" ht="20.100000000000001" customHeight="1" x14ac:dyDescent="0.25">
      <c r="A33" s="5" t="s">
        <v>24</v>
      </c>
      <c r="E33" s="1"/>
      <c r="I33" s="172" t="str">
        <f>IF(+'Pre-Qualifying Questionnaire'!I14:P14&gt;0,+'Pre-Qualifying Questionnaire'!I14:P14," ")</f>
        <v xml:space="preserve"> </v>
      </c>
      <c r="J33" s="172"/>
      <c r="K33" s="172"/>
      <c r="L33" s="172"/>
      <c r="M33" s="172"/>
      <c r="N33" s="172"/>
      <c r="O33" s="172"/>
      <c r="P33" s="172"/>
      <c r="Q33" s="172"/>
      <c r="R33" s="172"/>
      <c r="S33" s="172"/>
      <c r="T33" s="172"/>
      <c r="U33" s="2"/>
      <c r="V33" s="2"/>
      <c r="W33" s="2"/>
      <c r="X33" s="3"/>
      <c r="Y33" s="2"/>
      <c r="Z33" s="6" t="s">
        <v>34</v>
      </c>
      <c r="AA33" s="69"/>
      <c r="AB33" s="70"/>
      <c r="AC33" s="71"/>
    </row>
    <row r="34" spans="1:29" ht="20.100000000000001" customHeight="1" thickBot="1" x14ac:dyDescent="0.3">
      <c r="F34" s="22"/>
      <c r="G34" s="22"/>
      <c r="H34" s="22"/>
      <c r="I34" s="22"/>
      <c r="J34" s="22"/>
      <c r="K34" s="22"/>
      <c r="L34" s="22"/>
      <c r="M34" s="22"/>
      <c r="N34" s="22"/>
      <c r="O34" s="22"/>
      <c r="P34" s="22"/>
      <c r="Q34" s="22"/>
      <c r="R34" s="9"/>
      <c r="S34" s="23"/>
      <c r="T34" s="2"/>
      <c r="U34" s="2"/>
      <c r="V34" s="2"/>
      <c r="W34" s="2"/>
      <c r="X34" s="2"/>
      <c r="Y34" s="2"/>
      <c r="Z34" s="2"/>
      <c r="AA34" s="2"/>
      <c r="AB34" s="2"/>
      <c r="AC34" s="2"/>
    </row>
    <row r="35" spans="1:29" ht="20.100000000000001" customHeight="1" x14ac:dyDescent="0.25">
      <c r="A35" s="24"/>
      <c r="B35" s="24"/>
      <c r="C35" s="24"/>
      <c r="D35" s="24"/>
      <c r="E35" s="25"/>
      <c r="F35" s="24"/>
      <c r="G35" s="24"/>
      <c r="H35" s="24"/>
      <c r="I35" s="24"/>
      <c r="J35" s="24"/>
      <c r="K35" s="24"/>
      <c r="L35" s="24"/>
      <c r="M35" s="24"/>
      <c r="N35" s="24"/>
      <c r="O35" s="24"/>
      <c r="P35" s="24"/>
      <c r="Q35" s="24"/>
      <c r="R35" s="24"/>
      <c r="S35" s="24"/>
      <c r="T35" s="24"/>
      <c r="U35" s="24"/>
      <c r="V35" s="24"/>
      <c r="W35" s="24"/>
      <c r="X35" s="24"/>
      <c r="Y35" s="24"/>
      <c r="Z35" s="24"/>
      <c r="AA35" s="24"/>
      <c r="AB35" s="24"/>
      <c r="AC35" s="24"/>
    </row>
    <row r="36" spans="1:29" ht="20.100000000000001" customHeight="1" x14ac:dyDescent="0.25">
      <c r="A36" s="26" t="s">
        <v>127</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row>
    <row r="37" spans="1:29" ht="9.9499999999999993" customHeight="1" x14ac:dyDescent="0.25">
      <c r="E37" s="1"/>
    </row>
    <row r="38" spans="1:29" ht="20.100000000000001" customHeight="1" thickBot="1" x14ac:dyDescent="0.3">
      <c r="A38" s="27" t="s">
        <v>71</v>
      </c>
      <c r="B38" s="27"/>
      <c r="C38" s="27"/>
      <c r="D38" s="27"/>
      <c r="E38" s="27"/>
      <c r="F38" s="27"/>
      <c r="G38" s="27"/>
      <c r="H38" s="27"/>
      <c r="I38" s="27"/>
      <c r="J38" s="27"/>
      <c r="K38" s="27"/>
      <c r="L38" s="27"/>
      <c r="M38" s="27"/>
      <c r="N38" s="27"/>
      <c r="O38" s="28"/>
      <c r="P38" s="28"/>
      <c r="Q38" s="62"/>
      <c r="R38" s="7" t="s">
        <v>72</v>
      </c>
      <c r="S38" s="7"/>
      <c r="T38" s="7"/>
      <c r="U38" s="7"/>
      <c r="V38" s="62" t="s">
        <v>199</v>
      </c>
      <c r="W38" s="7" t="s">
        <v>73</v>
      </c>
      <c r="X38" s="7"/>
      <c r="Y38" s="7"/>
      <c r="Z38" s="7"/>
      <c r="AA38" s="7"/>
      <c r="AB38" s="7"/>
      <c r="AC38" s="7"/>
    </row>
    <row r="39" spans="1:29" s="9" customFormat="1" ht="20.100000000000001" customHeight="1" x14ac:dyDescent="0.25">
      <c r="A39" s="29"/>
      <c r="B39" s="29"/>
      <c r="C39" s="29"/>
      <c r="D39" s="29"/>
      <c r="E39" s="29"/>
      <c r="F39" s="29"/>
      <c r="G39" s="29"/>
      <c r="H39" s="29"/>
      <c r="I39" s="29"/>
      <c r="J39" s="29"/>
      <c r="K39" s="29"/>
      <c r="L39" s="29"/>
      <c r="M39" s="29"/>
      <c r="N39" s="29"/>
      <c r="O39" s="30"/>
      <c r="P39" s="30"/>
      <c r="Q39" s="31"/>
      <c r="R39" s="32"/>
      <c r="S39" s="32"/>
      <c r="T39" s="32"/>
      <c r="U39" s="32"/>
      <c r="V39" s="31"/>
      <c r="W39" s="32"/>
      <c r="X39" s="32"/>
      <c r="Y39" s="32"/>
      <c r="Z39" s="32"/>
      <c r="AA39" s="32"/>
      <c r="AB39" s="32"/>
      <c r="AC39" s="32"/>
    </row>
    <row r="40" spans="1:29" ht="20.100000000000001" customHeight="1" x14ac:dyDescent="0.25">
      <c r="A40" s="27" t="s">
        <v>48</v>
      </c>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row>
    <row r="41" spans="1:29" ht="20.100000000000001" customHeight="1" x14ac:dyDescent="0.25">
      <c r="A41" s="160"/>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2"/>
    </row>
    <row r="42" spans="1:29" ht="20.100000000000001" customHeight="1" x14ac:dyDescent="0.25">
      <c r="A42" s="163"/>
      <c r="B42" s="164"/>
      <c r="C42" s="164"/>
      <c r="D42" s="164"/>
      <c r="E42" s="164"/>
      <c r="F42" s="164"/>
      <c r="G42" s="164"/>
      <c r="H42" s="164"/>
      <c r="I42" s="164"/>
      <c r="J42" s="164"/>
      <c r="K42" s="164"/>
      <c r="L42" s="164"/>
      <c r="M42" s="164"/>
      <c r="N42" s="164"/>
      <c r="O42" s="164"/>
      <c r="P42" s="164"/>
      <c r="Q42" s="164"/>
      <c r="R42" s="164"/>
      <c r="S42" s="164"/>
      <c r="T42" s="164"/>
      <c r="U42" s="164"/>
      <c r="V42" s="164"/>
      <c r="W42" s="164"/>
      <c r="X42" s="164"/>
      <c r="Y42" s="164"/>
      <c r="Z42" s="164"/>
      <c r="AA42" s="164"/>
      <c r="AB42" s="164"/>
      <c r="AC42" s="165"/>
    </row>
    <row r="43" spans="1:29" ht="20.100000000000001" customHeight="1" x14ac:dyDescent="0.25">
      <c r="A43" s="163"/>
      <c r="B43" s="164"/>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5"/>
    </row>
    <row r="44" spans="1:29" ht="20.100000000000001" customHeight="1" thickBot="1" x14ac:dyDescent="0.3">
      <c r="A44" s="166"/>
      <c r="B44" s="167"/>
      <c r="C44" s="167"/>
      <c r="D44" s="167"/>
      <c r="E44" s="167"/>
      <c r="F44" s="167"/>
      <c r="G44" s="167"/>
      <c r="H44" s="167"/>
      <c r="I44" s="167"/>
      <c r="J44" s="167"/>
      <c r="K44" s="167"/>
      <c r="L44" s="167"/>
      <c r="M44" s="167"/>
      <c r="N44" s="167"/>
      <c r="O44" s="167"/>
      <c r="P44" s="167"/>
      <c r="Q44" s="167"/>
      <c r="R44" s="167"/>
      <c r="S44" s="167"/>
      <c r="T44" s="167"/>
      <c r="U44" s="167"/>
      <c r="V44" s="167"/>
      <c r="W44" s="167"/>
      <c r="X44" s="167"/>
      <c r="Y44" s="167"/>
      <c r="Z44" s="167"/>
      <c r="AA44" s="167"/>
      <c r="AB44" s="167"/>
      <c r="AC44" s="168"/>
    </row>
    <row r="45" spans="1:29" ht="20.100000000000001" customHeight="1" x14ac:dyDescent="0.25">
      <c r="A45" s="26" t="s">
        <v>35</v>
      </c>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row>
    <row r="46" spans="1:29" ht="20.100000000000001" customHeight="1" x14ac:dyDescent="0.25">
      <c r="A46" s="27" t="s">
        <v>49</v>
      </c>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row>
    <row r="47" spans="1:29" ht="20.100000000000001" customHeight="1" x14ac:dyDescent="0.25">
      <c r="A47" s="27"/>
      <c r="B47" s="33" t="s">
        <v>158</v>
      </c>
      <c r="C47" s="7"/>
      <c r="D47" s="7"/>
      <c r="E47" s="7"/>
      <c r="F47" s="7"/>
      <c r="G47" s="7"/>
      <c r="H47" s="7"/>
      <c r="I47" s="7"/>
      <c r="J47" s="7"/>
      <c r="K47" s="7"/>
      <c r="L47" s="7"/>
      <c r="M47" s="7"/>
      <c r="N47" s="7"/>
      <c r="O47" s="7"/>
      <c r="P47" s="7"/>
      <c r="Q47" s="7"/>
      <c r="R47" s="7"/>
      <c r="S47" s="7"/>
      <c r="T47" s="7"/>
      <c r="U47" s="7"/>
      <c r="V47" s="7"/>
      <c r="W47" s="7"/>
      <c r="X47" s="7"/>
      <c r="Y47" s="7"/>
      <c r="Z47" s="7"/>
      <c r="AA47" s="7"/>
      <c r="AB47" s="7"/>
      <c r="AC47" s="7"/>
    </row>
    <row r="48" spans="1:29" ht="20.100000000000001" customHeight="1" x14ac:dyDescent="0.25">
      <c r="B48" s="27" t="s">
        <v>159</v>
      </c>
      <c r="C48" s="7"/>
      <c r="D48" s="7"/>
      <c r="E48" s="7"/>
      <c r="F48" s="7"/>
      <c r="G48" s="7"/>
      <c r="H48" s="7"/>
      <c r="I48" s="7"/>
      <c r="J48" s="7"/>
      <c r="K48" s="7"/>
      <c r="L48" s="7"/>
      <c r="M48" s="7"/>
      <c r="N48" s="7"/>
      <c r="O48" s="7"/>
      <c r="P48" s="7"/>
      <c r="Q48" s="7"/>
      <c r="R48" s="7"/>
      <c r="S48" s="7"/>
      <c r="T48" s="7"/>
      <c r="U48" s="7"/>
      <c r="V48" s="7"/>
      <c r="W48" s="7"/>
      <c r="X48" s="7"/>
      <c r="Y48" s="7"/>
      <c r="Z48" s="7"/>
      <c r="AA48" s="7"/>
      <c r="AB48" s="7"/>
      <c r="AC48" s="7"/>
    </row>
    <row r="49" spans="1:29" ht="20.100000000000001" customHeight="1" x14ac:dyDescent="0.25">
      <c r="A49" s="34" t="s">
        <v>36</v>
      </c>
      <c r="B49" s="27" t="s">
        <v>160</v>
      </c>
      <c r="C49" s="7"/>
      <c r="D49" s="7"/>
      <c r="E49" s="7"/>
      <c r="F49" s="7"/>
      <c r="G49" s="7"/>
      <c r="H49" s="7"/>
      <c r="I49" s="7"/>
      <c r="J49" s="7"/>
      <c r="K49" s="7"/>
      <c r="L49" s="7"/>
      <c r="M49" s="7"/>
      <c r="N49" s="7"/>
      <c r="O49" s="7"/>
      <c r="P49" s="7"/>
      <c r="Q49" s="7"/>
      <c r="R49" s="7"/>
      <c r="S49" s="7"/>
      <c r="T49" s="7"/>
      <c r="U49" s="7"/>
      <c r="V49" s="7"/>
      <c r="W49" s="7"/>
      <c r="X49" s="7"/>
      <c r="Y49" s="7"/>
      <c r="Z49" s="7"/>
      <c r="AA49" s="7"/>
      <c r="AB49" s="7"/>
      <c r="AC49" s="7"/>
    </row>
    <row r="50" spans="1:29" ht="20.100000000000001" customHeight="1" x14ac:dyDescent="0.25">
      <c r="A50" s="177" t="s">
        <v>37</v>
      </c>
      <c r="B50" s="177"/>
      <c r="C50" s="177"/>
      <c r="D50" s="177"/>
      <c r="E50" s="177"/>
      <c r="F50" s="177"/>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row>
    <row r="51" spans="1:29" ht="20.100000000000001" customHeight="1" x14ac:dyDescent="0.25">
      <c r="A51" s="177"/>
      <c r="B51" s="177"/>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row>
    <row r="52" spans="1:29" ht="20.100000000000001" customHeight="1" x14ac:dyDescent="0.25">
      <c r="B52" s="27" t="s">
        <v>161</v>
      </c>
      <c r="C52" s="7"/>
      <c r="D52" s="7"/>
      <c r="E52" s="7"/>
      <c r="F52" s="7"/>
      <c r="G52" s="7"/>
      <c r="H52" s="7"/>
      <c r="I52" s="7"/>
      <c r="J52" s="7"/>
      <c r="K52" s="7"/>
      <c r="L52" s="7"/>
      <c r="M52" s="7"/>
      <c r="N52" s="7"/>
      <c r="O52" s="7"/>
      <c r="P52" s="7"/>
      <c r="Q52" s="7"/>
      <c r="R52" s="7"/>
      <c r="S52" s="7"/>
      <c r="T52" s="7"/>
      <c r="U52" s="7"/>
      <c r="V52" s="7"/>
      <c r="W52" s="7"/>
      <c r="X52" s="7"/>
      <c r="Y52" s="7"/>
      <c r="Z52" s="7"/>
      <c r="AA52" s="7"/>
      <c r="AB52" s="7"/>
      <c r="AC52" s="7"/>
    </row>
    <row r="53" spans="1:29" ht="39.950000000000003" customHeight="1" x14ac:dyDescent="0.25">
      <c r="B53" s="159" t="s">
        <v>74</v>
      </c>
      <c r="C53" s="159"/>
      <c r="D53" s="159"/>
      <c r="E53" s="159"/>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row>
    <row r="54" spans="1:29" ht="20.100000000000001" customHeight="1" x14ac:dyDescent="0.25">
      <c r="B54" s="171" t="s">
        <v>162</v>
      </c>
      <c r="C54" s="171"/>
      <c r="D54" s="171"/>
      <c r="E54" s="171"/>
      <c r="F54" s="171"/>
      <c r="G54" s="171"/>
      <c r="H54" s="171"/>
      <c r="I54" s="171"/>
      <c r="J54" s="171"/>
      <c r="K54" s="171"/>
      <c r="L54" s="171"/>
      <c r="M54" s="171"/>
      <c r="N54" s="171"/>
      <c r="O54" s="171"/>
      <c r="P54" s="171"/>
      <c r="Q54" s="171"/>
      <c r="R54" s="171"/>
      <c r="S54" s="171"/>
      <c r="T54" s="171"/>
      <c r="U54" s="171"/>
      <c r="V54" s="171"/>
      <c r="W54" s="171"/>
      <c r="X54" s="171"/>
      <c r="Y54" s="171"/>
      <c r="Z54" s="171"/>
      <c r="AA54" s="171"/>
      <c r="AB54" s="171"/>
      <c r="AC54" s="171"/>
    </row>
    <row r="55" spans="1:29" ht="20.100000000000001" customHeight="1" x14ac:dyDescent="0.25">
      <c r="B55" s="171"/>
      <c r="C55" s="171"/>
      <c r="D55" s="171"/>
      <c r="E55" s="171"/>
      <c r="F55" s="171"/>
      <c r="G55" s="171"/>
      <c r="H55" s="171"/>
      <c r="I55" s="171"/>
      <c r="J55" s="171"/>
      <c r="K55" s="171"/>
      <c r="L55" s="171"/>
      <c r="M55" s="171"/>
      <c r="N55" s="171"/>
      <c r="O55" s="171"/>
      <c r="P55" s="171"/>
      <c r="Q55" s="171"/>
      <c r="R55" s="171"/>
      <c r="S55" s="171"/>
      <c r="T55" s="171"/>
      <c r="U55" s="171"/>
      <c r="V55" s="171"/>
      <c r="W55" s="171"/>
      <c r="X55" s="171"/>
      <c r="Y55" s="171"/>
      <c r="Z55" s="171"/>
      <c r="AA55" s="171"/>
      <c r="AB55" s="171"/>
      <c r="AC55" s="171"/>
    </row>
    <row r="56" spans="1:29" ht="9.9499999999999993" customHeight="1" x14ac:dyDescent="0.25">
      <c r="B56" s="122"/>
      <c r="C56" s="122"/>
      <c r="D56" s="122"/>
      <c r="E56" s="122"/>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row>
    <row r="57" spans="1:29" ht="20.100000000000001" customHeight="1" x14ac:dyDescent="0.25">
      <c r="B57" s="122"/>
      <c r="C57" s="122"/>
      <c r="D57" s="122"/>
      <c r="E57" s="122"/>
      <c r="F57" s="122"/>
      <c r="G57" s="122"/>
      <c r="H57" s="122"/>
      <c r="I57" s="122"/>
      <c r="J57" s="122"/>
      <c r="K57" s="122"/>
      <c r="L57" s="122"/>
      <c r="M57" s="122"/>
      <c r="N57" s="122"/>
      <c r="O57" s="122"/>
      <c r="P57" s="122"/>
      <c r="Q57" s="122"/>
      <c r="R57" s="122"/>
      <c r="S57" s="122"/>
      <c r="T57" s="122"/>
      <c r="U57" s="122"/>
      <c r="V57" s="122"/>
      <c r="W57" s="122"/>
      <c r="X57" s="122"/>
      <c r="Y57" s="122"/>
      <c r="Z57" s="122"/>
      <c r="AA57" s="122"/>
      <c r="AB57" s="122"/>
      <c r="AC57" s="122"/>
    </row>
    <row r="58" spans="1:29" ht="20.100000000000001" customHeight="1" thickBot="1" x14ac:dyDescent="0.3">
      <c r="A58" s="36" t="s">
        <v>38</v>
      </c>
      <c r="B58" s="7"/>
      <c r="C58" s="28"/>
      <c r="D58" s="28"/>
      <c r="E58" s="28"/>
      <c r="F58" s="7"/>
      <c r="G58" s="7"/>
      <c r="H58" s="62" t="s">
        <v>199</v>
      </c>
      <c r="I58" s="7" t="s">
        <v>75</v>
      </c>
      <c r="J58" s="7"/>
      <c r="K58" s="7"/>
      <c r="L58" s="7"/>
      <c r="N58" s="62"/>
      <c r="O58" s="7" t="s">
        <v>76</v>
      </c>
      <c r="P58" s="7"/>
      <c r="T58" s="62"/>
      <c r="U58" s="7" t="s">
        <v>77</v>
      </c>
      <c r="V58" s="7"/>
      <c r="W58" s="7"/>
      <c r="X58" s="7"/>
      <c r="Y58" s="7"/>
      <c r="Z58" s="7"/>
      <c r="AA58" s="7"/>
      <c r="AB58" s="7"/>
      <c r="AC58" s="7"/>
    </row>
    <row r="59" spans="1:29" s="10" customFormat="1" ht="5.0999999999999996" customHeight="1" x14ac:dyDescent="0.25">
      <c r="A59" s="37"/>
      <c r="B59" s="31"/>
      <c r="C59" s="38"/>
      <c r="D59" s="38"/>
      <c r="E59" s="38"/>
      <c r="F59" s="31"/>
      <c r="G59" s="31"/>
      <c r="H59" s="39"/>
      <c r="I59" s="31"/>
      <c r="J59" s="31"/>
      <c r="K59" s="31"/>
      <c r="L59" s="31"/>
      <c r="N59" s="39"/>
      <c r="O59" s="31"/>
      <c r="P59" s="31"/>
      <c r="T59" s="40"/>
      <c r="U59" s="31"/>
      <c r="V59" s="31"/>
      <c r="W59" s="31"/>
      <c r="X59" s="31"/>
      <c r="Y59" s="31"/>
      <c r="Z59" s="31"/>
      <c r="AA59" s="31"/>
      <c r="AB59" s="31"/>
      <c r="AC59" s="31"/>
    </row>
    <row r="60" spans="1:29" ht="20.100000000000001" customHeight="1" thickBot="1" x14ac:dyDescent="0.3">
      <c r="A60" s="41"/>
      <c r="B60" s="7"/>
      <c r="C60" s="28"/>
      <c r="D60" s="28"/>
      <c r="E60" s="28"/>
      <c r="F60" s="7"/>
      <c r="G60" s="7"/>
      <c r="H60" s="62"/>
      <c r="I60" s="7" t="s">
        <v>78</v>
      </c>
      <c r="J60" s="7"/>
      <c r="K60" s="7"/>
      <c r="L60" s="7"/>
      <c r="N60" s="62"/>
      <c r="O60" s="7" t="s">
        <v>79</v>
      </c>
      <c r="P60" s="7"/>
      <c r="T60" s="31"/>
      <c r="U60" s="7"/>
      <c r="V60" s="7"/>
      <c r="W60" s="7"/>
      <c r="X60" s="7"/>
      <c r="Y60" s="7"/>
      <c r="Z60" s="7"/>
      <c r="AA60" s="7"/>
      <c r="AB60" s="7"/>
      <c r="AC60" s="7"/>
    </row>
    <row r="61" spans="1:29" s="10" customFormat="1" ht="5.0999999999999996" customHeight="1" x14ac:dyDescent="0.25">
      <c r="A61" s="37"/>
      <c r="B61" s="31"/>
      <c r="C61" s="38"/>
      <c r="D61" s="38"/>
      <c r="E61" s="38"/>
      <c r="F61" s="31"/>
      <c r="G61" s="31"/>
      <c r="H61" s="40"/>
      <c r="I61" s="31"/>
      <c r="J61" s="31"/>
      <c r="K61" s="31"/>
      <c r="L61" s="31"/>
      <c r="N61" s="40"/>
      <c r="O61" s="31"/>
      <c r="P61" s="31"/>
      <c r="T61" s="31"/>
      <c r="U61" s="31"/>
      <c r="V61" s="31"/>
      <c r="W61" s="31"/>
      <c r="X61" s="31"/>
      <c r="Y61" s="31"/>
      <c r="Z61" s="31"/>
      <c r="AA61" s="31"/>
      <c r="AB61" s="31"/>
      <c r="AC61" s="31"/>
    </row>
    <row r="62" spans="1:29" ht="20.100000000000001" customHeight="1" x14ac:dyDescent="0.25">
      <c r="A62" s="28" t="s">
        <v>50</v>
      </c>
      <c r="B62" s="7"/>
      <c r="C62" s="27" t="s">
        <v>80</v>
      </c>
      <c r="D62" s="7"/>
      <c r="E62" s="7"/>
      <c r="F62" s="7"/>
      <c r="G62" s="7"/>
      <c r="H62" s="169" t="s">
        <v>218</v>
      </c>
      <c r="I62" s="169"/>
      <c r="J62" s="169"/>
      <c r="K62" s="169"/>
      <c r="L62" s="169"/>
      <c r="M62" s="169"/>
      <c r="N62" s="169"/>
      <c r="O62" s="169"/>
      <c r="P62" s="169"/>
      <c r="Q62" s="169"/>
      <c r="R62" s="169"/>
      <c r="S62" s="169"/>
      <c r="T62" s="169"/>
      <c r="U62" s="169"/>
      <c r="V62" s="169"/>
      <c r="W62" s="169"/>
      <c r="X62" s="169"/>
      <c r="Y62" s="169"/>
      <c r="Z62" s="169"/>
      <c r="AA62" s="169"/>
      <c r="AB62" s="169"/>
      <c r="AC62" s="169"/>
    </row>
    <row r="63" spans="1:29" s="9" customFormat="1" ht="9.9499999999999993" customHeight="1" x14ac:dyDescent="0.25">
      <c r="A63" s="30"/>
      <c r="B63" s="32"/>
      <c r="C63" s="29"/>
      <c r="D63" s="32"/>
      <c r="E63" s="32"/>
      <c r="F63" s="32"/>
      <c r="G63" s="32"/>
      <c r="H63" s="2"/>
      <c r="I63" s="2"/>
      <c r="J63" s="2"/>
      <c r="K63" s="2"/>
      <c r="L63" s="2"/>
      <c r="M63" s="2"/>
      <c r="N63" s="2"/>
      <c r="O63" s="2"/>
      <c r="P63" s="2"/>
      <c r="Q63" s="2"/>
      <c r="R63" s="2"/>
      <c r="S63" s="2"/>
      <c r="T63" s="2"/>
      <c r="U63" s="2"/>
      <c r="V63" s="2"/>
      <c r="W63" s="2"/>
      <c r="X63" s="2"/>
      <c r="Y63" s="2"/>
      <c r="Z63" s="2"/>
      <c r="AA63" s="2"/>
      <c r="AB63" s="2"/>
      <c r="AC63" s="2"/>
    </row>
    <row r="64" spans="1:29" ht="20.100000000000001" customHeight="1" x14ac:dyDescent="0.25">
      <c r="B64" s="122"/>
      <c r="C64" s="122"/>
      <c r="D64" s="122"/>
      <c r="E64" s="122"/>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row>
    <row r="65" spans="1:29" ht="20.100000000000001" customHeight="1" thickBot="1" x14ac:dyDescent="0.3">
      <c r="A65" s="36" t="s">
        <v>128</v>
      </c>
      <c r="B65" s="35"/>
      <c r="C65" s="7"/>
      <c r="D65" s="7"/>
      <c r="E65" s="7"/>
      <c r="F65" s="7"/>
      <c r="G65" s="7"/>
      <c r="H65" s="11"/>
      <c r="J65" s="62"/>
      <c r="K65" s="7" t="s">
        <v>84</v>
      </c>
      <c r="L65" s="7"/>
      <c r="N65" s="11"/>
      <c r="R65" s="62" t="s">
        <v>199</v>
      </c>
      <c r="S65" s="7" t="s">
        <v>85</v>
      </c>
      <c r="V65" s="7"/>
      <c r="W65" s="7"/>
      <c r="X65" s="7"/>
      <c r="Y65" s="7"/>
      <c r="Z65" s="7"/>
      <c r="AA65" s="7"/>
      <c r="AB65" s="7"/>
      <c r="AC65" s="7"/>
    </row>
    <row r="66" spans="1:29" s="10" customFormat="1" ht="5.0999999999999996" customHeight="1" x14ac:dyDescent="0.25">
      <c r="A66" s="37"/>
      <c r="B66" s="31"/>
      <c r="C66" s="38"/>
      <c r="D66" s="38"/>
      <c r="E66" s="38"/>
      <c r="F66" s="31"/>
      <c r="G66" s="31"/>
      <c r="H66" s="31"/>
      <c r="I66" s="31"/>
      <c r="J66" s="31"/>
      <c r="K66" s="31"/>
      <c r="L66" s="31"/>
      <c r="N66" s="31"/>
      <c r="O66" s="31"/>
      <c r="P66" s="31"/>
      <c r="T66" s="31"/>
      <c r="U66" s="31"/>
      <c r="V66" s="31"/>
      <c r="W66" s="31"/>
      <c r="X66" s="31"/>
      <c r="Y66" s="31"/>
      <c r="Z66" s="31"/>
      <c r="AA66" s="31"/>
      <c r="AB66" s="31"/>
      <c r="AC66" s="31"/>
    </row>
    <row r="67" spans="1:29" ht="20.100000000000001" customHeight="1" thickBot="1" x14ac:dyDescent="0.3">
      <c r="A67" s="28"/>
      <c r="B67" s="7"/>
      <c r="C67" s="28"/>
      <c r="D67" s="62"/>
      <c r="E67" s="7" t="s">
        <v>86</v>
      </c>
      <c r="F67" s="7"/>
      <c r="G67" s="7"/>
      <c r="H67" s="169" t="s">
        <v>219</v>
      </c>
      <c r="I67" s="169"/>
      <c r="J67" s="169"/>
      <c r="K67" s="169"/>
      <c r="L67" s="169"/>
      <c r="M67" s="169"/>
      <c r="N67" s="169"/>
      <c r="O67" s="169"/>
      <c r="P67" s="169"/>
      <c r="Q67" s="169"/>
      <c r="R67" s="169"/>
      <c r="S67" s="169"/>
      <c r="T67" s="169"/>
      <c r="U67" s="169"/>
      <c r="V67" s="169"/>
      <c r="W67" s="169"/>
      <c r="X67" s="169"/>
      <c r="Y67" s="169"/>
      <c r="Z67" s="169"/>
      <c r="AA67" s="169"/>
      <c r="AB67" s="169"/>
      <c r="AC67" s="169"/>
    </row>
    <row r="68" spans="1:29" ht="9.9499999999999993" customHeight="1" x14ac:dyDescent="0.25">
      <c r="A68" s="28"/>
      <c r="B68" s="27"/>
      <c r="C68" s="7"/>
      <c r="D68" s="7"/>
      <c r="E68" s="7"/>
      <c r="F68" s="7"/>
      <c r="G68" s="7"/>
      <c r="H68" s="7"/>
      <c r="I68" s="7"/>
      <c r="J68" s="7"/>
      <c r="K68" s="7"/>
      <c r="L68" s="7"/>
      <c r="M68" s="7"/>
      <c r="N68" s="7"/>
      <c r="O68" s="7"/>
      <c r="P68" s="7"/>
      <c r="Q68" s="7"/>
      <c r="R68" s="7"/>
      <c r="S68" s="7"/>
      <c r="T68" s="7"/>
      <c r="U68" s="7"/>
      <c r="V68" s="7"/>
      <c r="W68" s="7"/>
      <c r="X68" s="7"/>
      <c r="Y68" s="7"/>
      <c r="Z68" s="7"/>
      <c r="AA68" s="7"/>
      <c r="AB68" s="7"/>
      <c r="AC68" s="7"/>
    </row>
    <row r="69" spans="1:29" ht="20.100000000000001" customHeight="1" x14ac:dyDescent="0.25">
      <c r="A69" s="28"/>
      <c r="B69" s="27"/>
      <c r="C69" s="7"/>
      <c r="D69" s="7"/>
      <c r="E69" s="7"/>
      <c r="F69" s="7"/>
      <c r="G69" s="7"/>
      <c r="H69" s="7"/>
      <c r="I69" s="7"/>
      <c r="J69" s="7"/>
      <c r="K69" s="7"/>
      <c r="L69" s="7"/>
      <c r="M69" s="7"/>
      <c r="N69" s="7"/>
      <c r="O69" s="7"/>
      <c r="P69" s="7"/>
      <c r="Q69" s="7"/>
      <c r="R69" s="7"/>
      <c r="S69" s="7"/>
      <c r="T69" s="7"/>
      <c r="U69" s="7"/>
      <c r="V69" s="7"/>
      <c r="W69" s="7"/>
      <c r="X69" s="7"/>
      <c r="Y69" s="7"/>
      <c r="Z69" s="7"/>
      <c r="AA69" s="7"/>
      <c r="AB69" s="7"/>
      <c r="AC69" s="7"/>
    </row>
    <row r="70" spans="1:29" ht="20.100000000000001" customHeight="1" thickBot="1" x14ac:dyDescent="0.3">
      <c r="A70" s="36" t="s">
        <v>39</v>
      </c>
      <c r="B70" s="7"/>
      <c r="C70" s="7"/>
      <c r="D70" s="7"/>
      <c r="E70" s="7"/>
      <c r="F70" s="7"/>
      <c r="G70" s="7"/>
      <c r="H70" s="7"/>
      <c r="I70" s="62"/>
      <c r="J70" s="7" t="s">
        <v>81</v>
      </c>
      <c r="K70" s="7"/>
      <c r="L70" s="7"/>
      <c r="M70" s="7"/>
      <c r="O70" s="62" t="s">
        <v>199</v>
      </c>
      <c r="P70" s="7" t="s">
        <v>82</v>
      </c>
      <c r="Q70" s="7"/>
      <c r="U70" s="62"/>
      <c r="V70" s="7" t="s">
        <v>83</v>
      </c>
      <c r="W70" s="7"/>
      <c r="X70" s="7"/>
      <c r="Y70" s="7"/>
      <c r="Z70" s="7"/>
      <c r="AA70" s="7"/>
      <c r="AB70" s="7"/>
      <c r="AC70" s="7"/>
    </row>
    <row r="71" spans="1:29" ht="5.0999999999999996" customHeight="1" x14ac:dyDescent="0.25">
      <c r="A71" s="28"/>
      <c r="B71" s="7"/>
      <c r="C71" s="7"/>
      <c r="D71" s="28"/>
      <c r="E71" s="7"/>
      <c r="F71" s="28"/>
      <c r="G71" s="7"/>
      <c r="H71" s="7"/>
      <c r="I71" s="7"/>
      <c r="J71" s="7"/>
      <c r="K71" s="7"/>
      <c r="L71" s="7"/>
      <c r="M71" s="7"/>
      <c r="N71" s="7"/>
      <c r="O71" s="7"/>
      <c r="P71" s="7"/>
      <c r="Q71" s="7"/>
      <c r="R71" s="7"/>
      <c r="S71" s="7"/>
      <c r="T71" s="7"/>
      <c r="U71" s="7"/>
      <c r="V71" s="7"/>
      <c r="W71" s="7"/>
      <c r="X71" s="7"/>
      <c r="Y71" s="7"/>
      <c r="Z71" s="7"/>
      <c r="AA71" s="7"/>
      <c r="AB71" s="7"/>
      <c r="AC71" s="7"/>
    </row>
    <row r="72" spans="1:29" ht="20.100000000000001" customHeight="1" thickBot="1" x14ac:dyDescent="0.3">
      <c r="A72" s="73" t="s">
        <v>146</v>
      </c>
      <c r="B72" s="7"/>
      <c r="C72" s="7"/>
      <c r="D72" s="7"/>
      <c r="E72" s="7"/>
      <c r="F72" s="7"/>
      <c r="G72" s="7"/>
      <c r="H72" s="7"/>
      <c r="I72" s="7"/>
      <c r="J72" s="7"/>
      <c r="K72" s="7"/>
      <c r="L72" s="62"/>
      <c r="M72" s="72" t="s">
        <v>143</v>
      </c>
      <c r="N72" s="72"/>
      <c r="O72" s="62"/>
      <c r="P72" s="7" t="s">
        <v>144</v>
      </c>
      <c r="R72" s="7"/>
      <c r="S72" s="62"/>
      <c r="T72" s="7" t="s">
        <v>86</v>
      </c>
      <c r="U72" s="7"/>
      <c r="V72" s="7"/>
      <c r="W72" s="170"/>
      <c r="X72" s="170"/>
      <c r="Y72" s="170"/>
      <c r="Z72" s="170"/>
      <c r="AA72" s="170"/>
      <c r="AB72" s="170"/>
      <c r="AC72" s="7"/>
    </row>
    <row r="73" spans="1:29" ht="5.0999999999999996" customHeight="1" x14ac:dyDescent="0.25">
      <c r="A73" s="28"/>
      <c r="B73" s="7"/>
      <c r="C73" s="7"/>
      <c r="D73" s="28"/>
      <c r="E73" s="7"/>
      <c r="F73" s="28"/>
      <c r="G73" s="7"/>
      <c r="H73" s="7"/>
      <c r="I73" s="7"/>
      <c r="J73" s="7"/>
      <c r="K73" s="7"/>
      <c r="L73" s="7"/>
      <c r="M73" s="72"/>
      <c r="N73" s="72"/>
      <c r="O73" s="7"/>
      <c r="P73" s="7"/>
      <c r="Q73" s="7"/>
      <c r="R73" s="7"/>
      <c r="S73" s="7"/>
      <c r="T73" s="7"/>
      <c r="U73" s="7"/>
      <c r="V73" s="7"/>
      <c r="W73" s="7"/>
      <c r="X73" s="7"/>
      <c r="Y73" s="7"/>
      <c r="Z73" s="7"/>
      <c r="AA73" s="7"/>
      <c r="AB73" s="7"/>
      <c r="AC73" s="7"/>
    </row>
    <row r="74" spans="1:29" ht="20.100000000000001" customHeight="1" thickBot="1" x14ac:dyDescent="0.3">
      <c r="A74" s="73" t="s">
        <v>147</v>
      </c>
      <c r="B74" s="7"/>
      <c r="C74" s="7"/>
      <c r="D74" s="7"/>
      <c r="E74" s="7"/>
      <c r="F74" s="7"/>
      <c r="G74" s="7"/>
      <c r="H74" s="7"/>
      <c r="I74" s="7"/>
      <c r="J74" s="7"/>
      <c r="K74" s="7"/>
      <c r="L74" s="62"/>
      <c r="M74" s="72" t="s">
        <v>98</v>
      </c>
      <c r="N74" s="72"/>
      <c r="O74" s="62"/>
      <c r="P74" s="7" t="s">
        <v>99</v>
      </c>
      <c r="R74" s="7"/>
      <c r="S74" s="7"/>
      <c r="T74" s="7"/>
      <c r="U74" s="7"/>
      <c r="V74" s="7"/>
      <c r="W74" s="7"/>
      <c r="X74" s="7"/>
      <c r="Y74" s="7"/>
      <c r="Z74" s="7"/>
      <c r="AA74" s="7"/>
      <c r="AB74" s="7"/>
      <c r="AC74" s="7"/>
    </row>
    <row r="75" spans="1:29" ht="5.0999999999999996" customHeight="1" x14ac:dyDescent="0.25">
      <c r="A75" s="28"/>
      <c r="B75" s="7"/>
      <c r="C75" s="7"/>
      <c r="D75" s="28"/>
      <c r="E75" s="7"/>
      <c r="F75" s="28"/>
      <c r="G75" s="7"/>
      <c r="H75" s="7"/>
      <c r="I75" s="7"/>
      <c r="J75" s="7"/>
      <c r="K75" s="7"/>
      <c r="L75" s="7"/>
      <c r="M75" s="72"/>
      <c r="N75" s="72"/>
      <c r="O75" s="7"/>
      <c r="P75" s="7"/>
      <c r="Q75" s="7"/>
      <c r="R75" s="7"/>
      <c r="S75" s="7"/>
      <c r="T75" s="7"/>
      <c r="U75" s="7"/>
      <c r="V75" s="7"/>
      <c r="W75" s="7"/>
      <c r="X75" s="7"/>
      <c r="Y75" s="7"/>
      <c r="Z75" s="7"/>
      <c r="AA75" s="7"/>
      <c r="AB75" s="7"/>
      <c r="AC75" s="7"/>
    </row>
    <row r="76" spans="1:29" ht="20.100000000000001" customHeight="1" thickBot="1" x14ac:dyDescent="0.3">
      <c r="A76" s="73" t="s">
        <v>148</v>
      </c>
      <c r="B76" s="7"/>
      <c r="C76" s="7"/>
      <c r="D76" s="7"/>
      <c r="E76" s="7"/>
      <c r="F76" s="7"/>
      <c r="G76" s="7"/>
      <c r="H76" s="7"/>
      <c r="I76" s="7"/>
      <c r="J76" s="7"/>
      <c r="K76" s="7"/>
      <c r="L76" s="62"/>
      <c r="M76" s="72" t="s">
        <v>98</v>
      </c>
      <c r="N76" s="72"/>
      <c r="O76" s="62"/>
      <c r="P76" s="7" t="s">
        <v>99</v>
      </c>
      <c r="R76" s="7"/>
      <c r="S76" s="7"/>
      <c r="T76" s="7"/>
      <c r="U76" s="7"/>
      <c r="V76" s="7"/>
      <c r="W76" s="7"/>
      <c r="X76" s="7"/>
      <c r="Y76" s="7"/>
      <c r="Z76" s="7"/>
      <c r="AA76" s="7"/>
      <c r="AB76" s="7"/>
      <c r="AC76" s="7"/>
    </row>
    <row r="77" spans="1:29" ht="5.0999999999999996" customHeight="1" x14ac:dyDescent="0.25">
      <c r="A77" s="28"/>
      <c r="B77" s="7"/>
      <c r="C77" s="7"/>
      <c r="D77" s="28"/>
      <c r="E77" s="7"/>
      <c r="F77" s="28"/>
      <c r="G77" s="7"/>
      <c r="H77" s="7"/>
      <c r="I77" s="7"/>
      <c r="J77" s="7"/>
      <c r="K77" s="7"/>
      <c r="L77" s="7"/>
      <c r="M77" s="7"/>
      <c r="N77" s="7"/>
      <c r="O77" s="7"/>
      <c r="P77" s="7"/>
      <c r="Q77" s="7"/>
      <c r="R77" s="7"/>
      <c r="S77" s="7"/>
      <c r="T77" s="7"/>
      <c r="U77" s="7"/>
      <c r="V77" s="7"/>
      <c r="W77" s="7"/>
      <c r="X77" s="7"/>
      <c r="Y77" s="7"/>
      <c r="Z77" s="7"/>
      <c r="AA77" s="7"/>
      <c r="AB77" s="7"/>
      <c r="AC77" s="7"/>
    </row>
    <row r="78" spans="1:29" ht="20.100000000000001" customHeight="1" x14ac:dyDescent="0.25">
      <c r="B78" s="27"/>
      <c r="C78" s="7"/>
      <c r="D78" s="7"/>
      <c r="E78" s="7"/>
      <c r="F78" s="7"/>
      <c r="G78" s="7"/>
      <c r="H78" s="7"/>
      <c r="I78" s="7"/>
      <c r="J78" s="7"/>
      <c r="K78" s="7"/>
      <c r="L78" s="7"/>
      <c r="M78" s="7"/>
      <c r="N78" s="7"/>
      <c r="O78" s="42" t="s">
        <v>40</v>
      </c>
      <c r="P78" s="169"/>
      <c r="Q78" s="169"/>
      <c r="R78" s="169"/>
      <c r="S78" s="169"/>
      <c r="T78" s="169"/>
      <c r="U78" s="169"/>
      <c r="V78" s="169"/>
      <c r="W78" s="169"/>
      <c r="X78" s="169"/>
      <c r="Y78" s="169"/>
      <c r="Z78" s="169"/>
      <c r="AA78" s="169"/>
      <c r="AB78" s="169"/>
      <c r="AC78" s="169"/>
    </row>
    <row r="79" spans="1:29" ht="5.0999999999999996" customHeight="1" x14ac:dyDescent="0.25">
      <c r="A79" s="28"/>
      <c r="B79" s="7"/>
      <c r="C79" s="7"/>
      <c r="D79" s="28"/>
      <c r="E79" s="7"/>
      <c r="F79" s="28"/>
      <c r="G79" s="7"/>
      <c r="H79" s="7"/>
      <c r="I79" s="7"/>
      <c r="J79" s="7"/>
      <c r="K79" s="7"/>
      <c r="L79" s="7"/>
      <c r="M79" s="7"/>
      <c r="N79" s="7"/>
      <c r="O79" s="7"/>
      <c r="P79" s="7"/>
      <c r="Q79" s="7"/>
      <c r="R79" s="7"/>
      <c r="S79" s="7"/>
      <c r="T79" s="7"/>
      <c r="U79" s="7"/>
      <c r="V79" s="7"/>
      <c r="W79" s="7"/>
      <c r="X79" s="7"/>
      <c r="Y79" s="7"/>
      <c r="Z79" s="7"/>
      <c r="AA79" s="7"/>
      <c r="AB79" s="7"/>
      <c r="AC79" s="7"/>
    </row>
    <row r="80" spans="1:29" ht="20.100000000000001" customHeight="1" x14ac:dyDescent="0.25">
      <c r="B80" s="43"/>
      <c r="C80" s="7"/>
      <c r="D80" s="7"/>
      <c r="E80" s="7"/>
      <c r="F80" s="7"/>
      <c r="G80" s="7"/>
      <c r="H80" s="7"/>
      <c r="I80" s="7"/>
      <c r="J80" s="7"/>
      <c r="K80" s="7"/>
      <c r="L80" s="7"/>
      <c r="M80" s="7"/>
      <c r="N80" s="7"/>
      <c r="O80" s="42" t="s">
        <v>189</v>
      </c>
      <c r="P80" s="169"/>
      <c r="Q80" s="169"/>
      <c r="R80" s="169"/>
      <c r="S80" s="169"/>
      <c r="T80" s="169"/>
      <c r="U80" s="169"/>
      <c r="V80" s="169"/>
      <c r="W80" s="169"/>
      <c r="X80" s="169"/>
      <c r="Y80" s="169"/>
      <c r="Z80" s="169"/>
      <c r="AA80" s="169"/>
      <c r="AB80" s="169"/>
      <c r="AC80" s="169"/>
    </row>
    <row r="81" spans="1:39" ht="5.0999999999999996" customHeight="1" x14ac:dyDescent="0.25">
      <c r="A81" s="28"/>
      <c r="B81" s="7"/>
      <c r="C81" s="7"/>
      <c r="D81" s="28"/>
      <c r="E81" s="7"/>
      <c r="F81" s="28"/>
      <c r="G81" s="7"/>
      <c r="H81" s="7"/>
      <c r="I81" s="7"/>
      <c r="J81" s="7"/>
      <c r="K81" s="7"/>
      <c r="L81" s="7"/>
      <c r="M81" s="7"/>
      <c r="N81" s="7"/>
      <c r="O81" s="7"/>
      <c r="P81" s="7"/>
      <c r="Q81" s="7"/>
      <c r="R81" s="7"/>
      <c r="S81" s="7"/>
      <c r="T81" s="7"/>
      <c r="U81" s="7"/>
      <c r="V81" s="7"/>
      <c r="W81" s="7"/>
      <c r="X81" s="7"/>
      <c r="Y81" s="7"/>
      <c r="Z81" s="7"/>
      <c r="AA81" s="7"/>
      <c r="AB81" s="7"/>
      <c r="AC81" s="7"/>
    </row>
    <row r="82" spans="1:39" ht="20.100000000000001" customHeight="1" x14ac:dyDescent="0.25">
      <c r="A82" s="27" t="s">
        <v>87</v>
      </c>
      <c r="B82" s="7"/>
      <c r="C82" s="7"/>
      <c r="D82" s="160" t="s">
        <v>220</v>
      </c>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2"/>
    </row>
    <row r="83" spans="1:39" ht="20.100000000000001" customHeight="1" x14ac:dyDescent="0.25">
      <c r="A83" s="27"/>
      <c r="B83" s="7"/>
      <c r="C83" s="7"/>
      <c r="D83" s="163"/>
      <c r="E83" s="164"/>
      <c r="F83" s="164"/>
      <c r="G83" s="164"/>
      <c r="H83" s="164"/>
      <c r="I83" s="164"/>
      <c r="J83" s="164"/>
      <c r="K83" s="164"/>
      <c r="L83" s="164"/>
      <c r="M83" s="164"/>
      <c r="N83" s="164"/>
      <c r="O83" s="164"/>
      <c r="P83" s="164"/>
      <c r="Q83" s="164"/>
      <c r="R83" s="164"/>
      <c r="S83" s="164"/>
      <c r="T83" s="164"/>
      <c r="U83" s="164"/>
      <c r="V83" s="164"/>
      <c r="W83" s="164"/>
      <c r="X83" s="164"/>
      <c r="Y83" s="164"/>
      <c r="Z83" s="164"/>
      <c r="AA83" s="164"/>
      <c r="AB83" s="164"/>
      <c r="AC83" s="165"/>
    </row>
    <row r="84" spans="1:39" ht="20.100000000000001" customHeight="1" x14ac:dyDescent="0.25">
      <c r="A84" s="27"/>
      <c r="B84" s="7"/>
      <c r="C84" s="7"/>
      <c r="D84" s="163"/>
      <c r="E84" s="164"/>
      <c r="F84" s="164"/>
      <c r="G84" s="164"/>
      <c r="H84" s="164"/>
      <c r="I84" s="164"/>
      <c r="J84" s="164"/>
      <c r="K84" s="164"/>
      <c r="L84" s="164"/>
      <c r="M84" s="164"/>
      <c r="N84" s="164"/>
      <c r="O84" s="164"/>
      <c r="P84" s="164"/>
      <c r="Q84" s="164"/>
      <c r="R84" s="164"/>
      <c r="S84" s="164"/>
      <c r="T84" s="164"/>
      <c r="U84" s="164"/>
      <c r="V84" s="164"/>
      <c r="W84" s="164"/>
      <c r="X84" s="164"/>
      <c r="Y84" s="164"/>
      <c r="Z84" s="164"/>
      <c r="AA84" s="164"/>
      <c r="AB84" s="164"/>
      <c r="AC84" s="165"/>
    </row>
    <row r="85" spans="1:39" ht="20.100000000000001" customHeight="1" thickBot="1" x14ac:dyDescent="0.3">
      <c r="A85" s="27"/>
      <c r="B85" s="7"/>
      <c r="C85" s="7"/>
      <c r="D85" s="166"/>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167"/>
      <c r="AC85" s="168"/>
    </row>
    <row r="86" spans="1:39" s="9" customFormat="1" ht="20.100000000000001" customHeight="1" x14ac:dyDescent="0.25">
      <c r="A86" s="29"/>
      <c r="B86" s="32"/>
      <c r="C86" s="32"/>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row>
    <row r="87" spans="1:39" ht="20.100000000000001" customHeight="1" x14ac:dyDescent="0.25">
      <c r="A87" s="36" t="s">
        <v>145</v>
      </c>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row>
    <row r="88" spans="1:39" ht="5.0999999999999996" customHeight="1" x14ac:dyDescent="0.25">
      <c r="A88" s="41"/>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row>
    <row r="89" spans="1:39" ht="20.100000000000001" customHeight="1" thickBot="1" x14ac:dyDescent="0.3">
      <c r="A89" s="45"/>
      <c r="B89" s="62" t="s">
        <v>199</v>
      </c>
      <c r="C89" s="7" t="s">
        <v>88</v>
      </c>
      <c r="D89" s="7"/>
      <c r="E89" s="7"/>
      <c r="F89" s="7"/>
      <c r="G89" s="11"/>
      <c r="K89" s="62"/>
      <c r="L89" s="7" t="s">
        <v>89</v>
      </c>
      <c r="N89" s="11"/>
      <c r="Q89" s="7"/>
      <c r="R89" s="7"/>
      <c r="S89" s="7"/>
      <c r="T89" s="7"/>
      <c r="U89" s="62"/>
      <c r="V89" s="7" t="s">
        <v>91</v>
      </c>
      <c r="X89" s="7"/>
      <c r="Z89" s="7"/>
      <c r="AA89" s="7"/>
      <c r="AB89" s="7"/>
      <c r="AC89" s="7"/>
      <c r="AD89" s="7"/>
      <c r="AE89" s="7"/>
    </row>
    <row r="90" spans="1:39" ht="5.0999999999999996" customHeight="1" x14ac:dyDescent="0.25">
      <c r="A90" s="41"/>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row>
    <row r="91" spans="1:39" ht="20.100000000000001" customHeight="1" thickBot="1" x14ac:dyDescent="0.3">
      <c r="A91" s="45"/>
      <c r="B91" s="62"/>
      <c r="C91" s="7" t="s">
        <v>92</v>
      </c>
      <c r="D91" s="7"/>
      <c r="E91" s="7"/>
      <c r="F91" s="7"/>
      <c r="G91" s="11"/>
      <c r="K91" s="62"/>
      <c r="L91" s="1" t="s">
        <v>90</v>
      </c>
      <c r="N91" s="11"/>
      <c r="Q91" s="7"/>
      <c r="R91" s="7"/>
      <c r="S91" s="7"/>
      <c r="T91" s="7"/>
      <c r="X91" s="7"/>
      <c r="Z91" s="7"/>
      <c r="AA91" s="7"/>
      <c r="AB91" s="7"/>
      <c r="AC91" s="7"/>
      <c r="AD91" s="7"/>
      <c r="AE91" s="7"/>
    </row>
    <row r="92" spans="1:39" ht="5.0999999999999996" customHeight="1" x14ac:dyDescent="0.25">
      <c r="A92" s="41"/>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row>
    <row r="93" spans="1:39" ht="20.100000000000001" customHeight="1" thickBot="1" x14ac:dyDescent="0.3">
      <c r="A93" s="45"/>
      <c r="B93" s="62" t="s">
        <v>199</v>
      </c>
      <c r="C93" s="7" t="s">
        <v>94</v>
      </c>
      <c r="D93" s="7"/>
      <c r="E93" s="7"/>
      <c r="F93" s="7"/>
      <c r="G93" s="11"/>
      <c r="U93" s="61" t="s">
        <v>41</v>
      </c>
      <c r="V93" s="61"/>
      <c r="W93" s="61" t="s">
        <v>42</v>
      </c>
      <c r="X93" s="61"/>
      <c r="Y93" s="61" t="s">
        <v>43</v>
      </c>
      <c r="Z93" s="61"/>
      <c r="AA93" s="61" t="s">
        <v>44</v>
      </c>
      <c r="AD93" s="7"/>
      <c r="AE93" s="7"/>
    </row>
    <row r="94" spans="1:39" ht="5.0999999999999996" customHeight="1" x14ac:dyDescent="0.25">
      <c r="A94" s="31"/>
      <c r="B94" s="31"/>
      <c r="C94" s="31"/>
      <c r="D94" s="31"/>
      <c r="E94" s="31"/>
      <c r="F94" s="10"/>
      <c r="G94" s="31"/>
      <c r="H94" s="31"/>
      <c r="I94" s="10"/>
      <c r="J94" s="10"/>
      <c r="M94" s="31"/>
      <c r="N94" s="31"/>
      <c r="O94" s="31"/>
      <c r="P94" s="31"/>
      <c r="Q94" s="31"/>
      <c r="R94" s="31"/>
      <c r="S94" s="31"/>
      <c r="T94" s="31"/>
      <c r="U94" s="31"/>
      <c r="V94" s="10"/>
      <c r="W94" s="7"/>
      <c r="X94" s="7"/>
      <c r="Y94" s="7"/>
      <c r="Z94" s="7"/>
      <c r="AA94" s="7"/>
      <c r="AB94" s="7"/>
    </row>
    <row r="95" spans="1:39" ht="20.100000000000001" customHeight="1" thickBot="1" x14ac:dyDescent="0.3">
      <c r="A95" s="7"/>
      <c r="B95" s="62" t="s">
        <v>199</v>
      </c>
      <c r="C95" s="7" t="s">
        <v>93</v>
      </c>
      <c r="E95" s="7"/>
      <c r="F95" s="7"/>
      <c r="G95" s="7"/>
      <c r="H95" s="7"/>
      <c r="I95" s="62"/>
      <c r="J95" s="1" t="s">
        <v>95</v>
      </c>
      <c r="N95" s="11"/>
      <c r="Q95" s="7"/>
      <c r="R95" s="7"/>
      <c r="S95" s="7"/>
      <c r="T95" s="31"/>
      <c r="U95" s="17"/>
      <c r="V95" s="27"/>
      <c r="W95" s="17"/>
      <c r="X95" s="7"/>
      <c r="Y95" s="17"/>
      <c r="Z95" s="7"/>
      <c r="AA95" s="17"/>
      <c r="AM95" s="46"/>
    </row>
    <row r="96" spans="1:39" s="9" customFormat="1" ht="5.0999999999999996" customHeight="1" x14ac:dyDescent="0.25">
      <c r="A96" s="32"/>
      <c r="B96" s="31"/>
      <c r="C96" s="29"/>
      <c r="D96" s="32"/>
      <c r="E96" s="32"/>
      <c r="F96" s="32"/>
      <c r="G96" s="32"/>
      <c r="H96" s="32"/>
      <c r="I96" s="32"/>
      <c r="J96" s="32"/>
      <c r="K96" s="31"/>
      <c r="L96" s="29"/>
      <c r="M96" s="32"/>
      <c r="N96" s="32"/>
      <c r="O96" s="32"/>
      <c r="P96" s="32"/>
      <c r="Q96" s="32"/>
      <c r="R96" s="32"/>
      <c r="S96" s="32"/>
      <c r="T96" s="32"/>
      <c r="U96" s="31"/>
      <c r="V96" s="29"/>
      <c r="W96" s="32"/>
      <c r="X96" s="32"/>
      <c r="Y96" s="32"/>
      <c r="Z96" s="32"/>
      <c r="AA96" s="32"/>
      <c r="AB96" s="32"/>
      <c r="AC96" s="32"/>
    </row>
    <row r="97" spans="1:29" ht="20.100000000000001" customHeight="1" thickBot="1" x14ac:dyDescent="0.3">
      <c r="A97" s="7"/>
      <c r="E97" s="7"/>
      <c r="F97" s="7"/>
      <c r="G97" s="7"/>
      <c r="H97" s="7"/>
      <c r="I97" s="62" t="s">
        <v>199</v>
      </c>
      <c r="J97" s="1" t="s">
        <v>96</v>
      </c>
      <c r="L97" s="27"/>
      <c r="M97" s="7"/>
      <c r="N97" s="7"/>
      <c r="O97" s="7"/>
      <c r="P97" s="7"/>
      <c r="Q97" s="7"/>
      <c r="R97" s="7"/>
      <c r="S97" s="7"/>
      <c r="T97" s="7"/>
      <c r="U97" s="17"/>
      <c r="V97" s="27"/>
      <c r="W97" s="17"/>
      <c r="X97" s="7"/>
      <c r="Y97" s="17"/>
      <c r="Z97" s="7"/>
      <c r="AA97" s="17"/>
      <c r="AB97" s="7"/>
      <c r="AC97" s="7"/>
    </row>
    <row r="98" spans="1:29" ht="20.100000000000001" customHeight="1" x14ac:dyDescent="0.25">
      <c r="A98" s="4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row>
    <row r="99" spans="1:29" ht="20.100000000000001" customHeight="1" x14ac:dyDescent="0.25">
      <c r="A99" s="27" t="s">
        <v>97</v>
      </c>
      <c r="B99" s="7"/>
      <c r="C99" s="7"/>
      <c r="D99" s="7"/>
      <c r="E99" s="7"/>
      <c r="F99" s="160" t="s">
        <v>221</v>
      </c>
      <c r="G99" s="161"/>
      <c r="H99" s="161"/>
      <c r="I99" s="161"/>
      <c r="J99" s="161"/>
      <c r="K99" s="161"/>
      <c r="L99" s="161"/>
      <c r="M99" s="161"/>
      <c r="N99" s="161"/>
      <c r="O99" s="161"/>
      <c r="P99" s="161"/>
      <c r="Q99" s="161"/>
      <c r="R99" s="161"/>
      <c r="S99" s="161"/>
      <c r="T99" s="161"/>
      <c r="U99" s="161"/>
      <c r="V99" s="161"/>
      <c r="W99" s="161"/>
      <c r="X99" s="161"/>
      <c r="Y99" s="161"/>
      <c r="Z99" s="161"/>
      <c r="AA99" s="161"/>
      <c r="AB99" s="161"/>
      <c r="AC99" s="162"/>
    </row>
    <row r="100" spans="1:29" ht="20.100000000000001" customHeight="1" x14ac:dyDescent="0.25">
      <c r="A100" s="27"/>
      <c r="B100" s="7"/>
      <c r="C100" s="7"/>
      <c r="D100" s="7"/>
      <c r="E100" s="7"/>
      <c r="F100" s="163"/>
      <c r="G100" s="164"/>
      <c r="H100" s="164"/>
      <c r="I100" s="164"/>
      <c r="J100" s="164"/>
      <c r="K100" s="164"/>
      <c r="L100" s="164"/>
      <c r="M100" s="164"/>
      <c r="N100" s="164"/>
      <c r="O100" s="164"/>
      <c r="P100" s="164"/>
      <c r="Q100" s="164"/>
      <c r="R100" s="164"/>
      <c r="S100" s="164"/>
      <c r="T100" s="164"/>
      <c r="U100" s="164"/>
      <c r="V100" s="164"/>
      <c r="W100" s="164"/>
      <c r="X100" s="164"/>
      <c r="Y100" s="164"/>
      <c r="Z100" s="164"/>
      <c r="AA100" s="164"/>
      <c r="AB100" s="164"/>
      <c r="AC100" s="165"/>
    </row>
    <row r="101" spans="1:29" ht="20.100000000000001" customHeight="1" thickBot="1" x14ac:dyDescent="0.3">
      <c r="A101" s="27"/>
      <c r="B101" s="7"/>
      <c r="C101" s="7"/>
      <c r="D101" s="7"/>
      <c r="E101" s="7"/>
      <c r="F101" s="166"/>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8"/>
    </row>
    <row r="102" spans="1:29" s="9" customFormat="1" ht="20.100000000000001" customHeight="1" x14ac:dyDescent="0.25">
      <c r="A102" s="29"/>
      <c r="B102" s="32"/>
      <c r="C102" s="32"/>
      <c r="D102" s="32"/>
      <c r="E102" s="32"/>
      <c r="F102" s="48"/>
      <c r="G102" s="48"/>
      <c r="H102" s="48"/>
      <c r="I102" s="48"/>
      <c r="J102" s="48"/>
      <c r="K102" s="48"/>
      <c r="L102" s="48"/>
      <c r="M102" s="48"/>
      <c r="N102" s="48"/>
      <c r="O102" s="48"/>
      <c r="P102" s="48"/>
      <c r="Q102" s="48"/>
      <c r="R102" s="48"/>
      <c r="S102" s="48"/>
      <c r="T102" s="48"/>
      <c r="U102" s="48"/>
      <c r="V102" s="48"/>
      <c r="W102" s="48"/>
      <c r="X102" s="48"/>
      <c r="Y102" s="48"/>
      <c r="Z102" s="48"/>
      <c r="AA102" s="48"/>
      <c r="AB102" s="48"/>
      <c r="AC102" s="48"/>
    </row>
    <row r="103" spans="1:29" s="9" customFormat="1" ht="20.100000000000001" customHeight="1" x14ac:dyDescent="0.25">
      <c r="A103" s="29"/>
      <c r="B103" s="32"/>
      <c r="C103" s="32"/>
      <c r="D103" s="32"/>
      <c r="E103" s="32"/>
      <c r="F103" s="48"/>
      <c r="G103" s="48"/>
      <c r="H103" s="48"/>
      <c r="I103" s="48"/>
      <c r="J103" s="48"/>
      <c r="K103" s="48"/>
      <c r="L103" s="48"/>
      <c r="M103" s="48"/>
      <c r="N103" s="48"/>
      <c r="O103" s="48"/>
      <c r="P103" s="48"/>
      <c r="Q103" s="48"/>
      <c r="R103" s="48"/>
      <c r="S103" s="48"/>
      <c r="T103" s="48"/>
      <c r="U103" s="48"/>
      <c r="V103" s="48"/>
      <c r="W103" s="48"/>
      <c r="X103" s="48"/>
      <c r="Y103" s="48"/>
      <c r="Z103" s="48"/>
      <c r="AA103" s="48"/>
      <c r="AB103" s="48"/>
      <c r="AC103" s="48"/>
    </row>
    <row r="104" spans="1:29" ht="20.100000000000001" customHeight="1" thickBot="1" x14ac:dyDescent="0.3">
      <c r="A104" s="36" t="s">
        <v>129</v>
      </c>
      <c r="C104" s="7"/>
      <c r="D104" s="7"/>
      <c r="E104" s="7"/>
      <c r="F104" s="7"/>
      <c r="G104" s="7"/>
      <c r="H104" s="7"/>
      <c r="I104" s="7"/>
      <c r="J104" s="27" t="s">
        <v>51</v>
      </c>
      <c r="L104" s="7"/>
      <c r="M104" s="7"/>
      <c r="N104" s="7"/>
      <c r="O104" s="7"/>
      <c r="P104" s="7"/>
      <c r="Q104" s="7"/>
      <c r="R104" s="7"/>
      <c r="S104" s="7"/>
      <c r="T104" s="62"/>
      <c r="U104" s="7" t="s">
        <v>98</v>
      </c>
      <c r="V104" s="7"/>
      <c r="W104" s="62" t="s">
        <v>199</v>
      </c>
      <c r="X104" s="7" t="s">
        <v>99</v>
      </c>
      <c r="Y104" s="7"/>
      <c r="Z104" s="7"/>
      <c r="AA104" s="7"/>
      <c r="AB104" s="7"/>
      <c r="AC104" s="7"/>
    </row>
    <row r="105" spans="1:29" ht="5.0999999999999996" customHeight="1" x14ac:dyDescent="0.25">
      <c r="A105" s="31"/>
      <c r="B105" s="31"/>
      <c r="C105" s="31"/>
      <c r="D105" s="31"/>
      <c r="E105" s="31"/>
      <c r="F105" s="10"/>
      <c r="G105" s="31"/>
      <c r="H105" s="31"/>
      <c r="I105" s="10"/>
      <c r="M105" s="31"/>
      <c r="N105" s="31"/>
      <c r="O105" s="31"/>
      <c r="P105" s="31"/>
      <c r="Q105" s="31"/>
      <c r="R105" s="31"/>
      <c r="S105" s="31"/>
      <c r="T105" s="31"/>
      <c r="U105" s="31"/>
      <c r="V105" s="10"/>
      <c r="W105" s="7"/>
      <c r="X105" s="7"/>
      <c r="Y105" s="7"/>
      <c r="Z105" s="7"/>
      <c r="AA105" s="7"/>
      <c r="AB105" s="7"/>
    </row>
    <row r="106" spans="1:29" ht="20.100000000000001" customHeight="1" thickBot="1" x14ac:dyDescent="0.3">
      <c r="C106" s="7"/>
      <c r="D106" s="27"/>
      <c r="E106" s="27"/>
      <c r="F106" s="7"/>
      <c r="G106" s="7"/>
      <c r="H106" s="7"/>
      <c r="I106" s="7"/>
      <c r="J106" s="27" t="s">
        <v>100</v>
      </c>
      <c r="L106" s="7"/>
      <c r="M106" s="7"/>
      <c r="N106" s="7"/>
      <c r="O106" s="7"/>
      <c r="P106" s="7"/>
      <c r="Q106" s="7"/>
      <c r="R106" s="7"/>
      <c r="S106" s="7"/>
      <c r="T106" s="62"/>
      <c r="U106" s="7" t="s">
        <v>98</v>
      </c>
      <c r="V106" s="7"/>
      <c r="W106" s="62" t="s">
        <v>199</v>
      </c>
      <c r="X106" s="7" t="s">
        <v>99</v>
      </c>
      <c r="Y106" s="7"/>
      <c r="Z106" s="7"/>
      <c r="AA106" s="7"/>
      <c r="AB106" s="7"/>
      <c r="AC106" s="7"/>
    </row>
    <row r="107" spans="1:29" ht="5.0999999999999996" customHeight="1" x14ac:dyDescent="0.25">
      <c r="A107" s="31"/>
      <c r="B107" s="31"/>
      <c r="C107" s="31"/>
      <c r="D107" s="31"/>
      <c r="E107" s="31"/>
      <c r="F107" s="10"/>
      <c r="G107" s="31"/>
      <c r="H107" s="31"/>
      <c r="I107" s="10"/>
      <c r="M107" s="31"/>
      <c r="N107" s="31"/>
      <c r="O107" s="31"/>
      <c r="P107" s="31"/>
      <c r="Q107" s="31"/>
      <c r="R107" s="31"/>
      <c r="S107" s="31"/>
      <c r="T107" s="31"/>
      <c r="U107" s="31"/>
      <c r="V107" s="10"/>
      <c r="W107" s="7"/>
      <c r="X107" s="7"/>
      <c r="Y107" s="7"/>
      <c r="Z107" s="7"/>
      <c r="AA107" s="7"/>
      <c r="AB107" s="7"/>
    </row>
    <row r="108" spans="1:29" ht="20.100000000000001" customHeight="1" thickBot="1" x14ac:dyDescent="0.3">
      <c r="C108" s="7"/>
      <c r="D108" s="27"/>
      <c r="E108" s="27"/>
      <c r="F108" s="7"/>
      <c r="G108" s="7"/>
      <c r="H108" s="7"/>
      <c r="I108" s="7"/>
      <c r="J108" s="27" t="s">
        <v>101</v>
      </c>
      <c r="L108" s="7"/>
      <c r="M108" s="7"/>
      <c r="N108" s="7"/>
      <c r="O108" s="7"/>
      <c r="P108" s="7"/>
      <c r="Q108" s="7"/>
      <c r="R108" s="7"/>
      <c r="S108" s="7"/>
      <c r="T108" s="62"/>
      <c r="U108" s="7" t="s">
        <v>98</v>
      </c>
      <c r="V108" s="7"/>
      <c r="W108" s="62" t="s">
        <v>199</v>
      </c>
      <c r="X108" s="7" t="s">
        <v>99</v>
      </c>
      <c r="Y108" s="7"/>
      <c r="Z108" s="7"/>
      <c r="AA108" s="7"/>
      <c r="AB108" s="7"/>
      <c r="AC108" s="7"/>
    </row>
    <row r="109" spans="1:29" ht="20.100000000000001" customHeight="1" x14ac:dyDescent="0.25">
      <c r="A109" s="4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row>
    <row r="110" spans="1:29" ht="20.100000000000001" customHeight="1" x14ac:dyDescent="0.25">
      <c r="A110" s="4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row>
    <row r="111" spans="1:29" ht="20.100000000000001" customHeight="1" x14ac:dyDescent="0.25">
      <c r="A111" s="36" t="s">
        <v>130</v>
      </c>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row>
    <row r="112" spans="1:29" ht="5.0999999999999996" customHeight="1" x14ac:dyDescent="0.25">
      <c r="A112" s="41"/>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row>
    <row r="113" spans="1:31" ht="20.100000000000001" customHeight="1" x14ac:dyDescent="0.25">
      <c r="A113" s="41"/>
      <c r="B113" s="17" t="s">
        <v>199</v>
      </c>
      <c r="C113" s="7" t="s">
        <v>149</v>
      </c>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row>
    <row r="114" spans="1:31" ht="5.0999999999999996" customHeight="1" x14ac:dyDescent="0.25">
      <c r="A114" s="41"/>
      <c r="B114" s="31"/>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row>
    <row r="115" spans="1:31" ht="20.100000000000001" customHeight="1" x14ac:dyDescent="0.25">
      <c r="A115" s="41"/>
      <c r="B115" s="7"/>
      <c r="C115" s="7"/>
      <c r="D115" s="160"/>
      <c r="E115" s="161"/>
      <c r="F115" s="161"/>
      <c r="G115" s="161"/>
      <c r="H115" s="161"/>
      <c r="I115" s="161"/>
      <c r="J115" s="161"/>
      <c r="K115" s="161"/>
      <c r="L115" s="161"/>
      <c r="M115" s="161"/>
      <c r="N115" s="161"/>
      <c r="O115" s="161"/>
      <c r="P115" s="161"/>
      <c r="Q115" s="161"/>
      <c r="R115" s="161"/>
      <c r="S115" s="161"/>
      <c r="T115" s="161"/>
      <c r="U115" s="161"/>
      <c r="V115" s="161"/>
      <c r="W115" s="161"/>
      <c r="X115" s="161"/>
      <c r="Y115" s="161"/>
      <c r="Z115" s="161"/>
      <c r="AA115" s="161"/>
      <c r="AB115" s="161"/>
      <c r="AC115" s="162"/>
    </row>
    <row r="116" spans="1:31" ht="20.100000000000001" customHeight="1" x14ac:dyDescent="0.25">
      <c r="A116" s="41"/>
      <c r="B116" s="7"/>
      <c r="C116" s="7"/>
      <c r="D116" s="163"/>
      <c r="E116" s="164"/>
      <c r="F116" s="164"/>
      <c r="G116" s="164"/>
      <c r="H116" s="164"/>
      <c r="I116" s="164"/>
      <c r="J116" s="164"/>
      <c r="K116" s="164"/>
      <c r="L116" s="164"/>
      <c r="M116" s="164"/>
      <c r="N116" s="164"/>
      <c r="O116" s="164"/>
      <c r="P116" s="164"/>
      <c r="Q116" s="164"/>
      <c r="R116" s="164"/>
      <c r="S116" s="164"/>
      <c r="T116" s="164"/>
      <c r="U116" s="164"/>
      <c r="V116" s="164"/>
      <c r="W116" s="164"/>
      <c r="X116" s="164"/>
      <c r="Y116" s="164"/>
      <c r="Z116" s="164"/>
      <c r="AA116" s="164"/>
      <c r="AB116" s="164"/>
      <c r="AC116" s="165"/>
    </row>
    <row r="117" spans="1:31" ht="20.100000000000001" customHeight="1" thickBot="1" x14ac:dyDescent="0.3">
      <c r="A117" s="41"/>
      <c r="B117" s="7"/>
      <c r="C117" s="7"/>
      <c r="D117" s="166"/>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8"/>
    </row>
    <row r="118" spans="1:31" ht="20.100000000000001" customHeight="1" x14ac:dyDescent="0.25">
      <c r="A118" s="41"/>
      <c r="B118" s="31"/>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row>
    <row r="119" spans="1:31" ht="20.100000000000001" customHeight="1" thickBot="1" x14ac:dyDescent="0.3">
      <c r="A119" s="7"/>
      <c r="B119" s="62"/>
      <c r="C119" s="27" t="s">
        <v>102</v>
      </c>
      <c r="D119" s="7"/>
      <c r="E119" s="7"/>
      <c r="F119" s="7"/>
      <c r="G119" s="7"/>
      <c r="H119" s="7"/>
      <c r="I119" s="7"/>
      <c r="J119" s="7"/>
      <c r="K119" s="62" t="s">
        <v>199</v>
      </c>
      <c r="L119" s="27" t="s">
        <v>104</v>
      </c>
      <c r="M119" s="7"/>
      <c r="N119" s="7"/>
      <c r="O119" s="7"/>
      <c r="P119" s="7"/>
      <c r="Q119" s="7"/>
      <c r="R119" s="7"/>
      <c r="S119" s="7"/>
      <c r="T119" s="7"/>
      <c r="U119" s="62"/>
      <c r="V119" s="27" t="s">
        <v>107</v>
      </c>
      <c r="W119" s="7"/>
      <c r="X119" s="7"/>
      <c r="Y119" s="7"/>
      <c r="Z119" s="7"/>
      <c r="AA119" s="7"/>
      <c r="AB119" s="7"/>
      <c r="AC119" s="7"/>
    </row>
    <row r="120" spans="1:31" s="9" customFormat="1" ht="5.0999999999999996" customHeight="1" x14ac:dyDescent="0.25">
      <c r="A120" s="32"/>
      <c r="B120" s="31"/>
      <c r="C120" s="29"/>
      <c r="D120" s="32"/>
      <c r="E120" s="32"/>
      <c r="F120" s="32"/>
      <c r="G120" s="32"/>
      <c r="H120" s="32"/>
      <c r="I120" s="32"/>
      <c r="J120" s="32"/>
      <c r="K120" s="31"/>
      <c r="L120" s="29"/>
      <c r="M120" s="32"/>
      <c r="N120" s="32"/>
      <c r="O120" s="32"/>
      <c r="P120" s="32"/>
      <c r="Q120" s="32"/>
      <c r="R120" s="32"/>
      <c r="S120" s="32"/>
      <c r="T120" s="32"/>
      <c r="U120" s="31"/>
      <c r="V120" s="29"/>
      <c r="W120" s="32"/>
      <c r="X120" s="32"/>
      <c r="Y120" s="32"/>
      <c r="Z120" s="32"/>
      <c r="AA120" s="32"/>
      <c r="AB120" s="32"/>
      <c r="AC120" s="32"/>
    </row>
    <row r="121" spans="1:31" ht="20.100000000000001" customHeight="1" thickBot="1" x14ac:dyDescent="0.3">
      <c r="A121" s="7"/>
      <c r="B121" s="62"/>
      <c r="C121" s="27" t="s">
        <v>203</v>
      </c>
      <c r="D121" s="7"/>
      <c r="E121" s="7"/>
      <c r="F121" s="7"/>
      <c r="G121" s="7"/>
      <c r="H121" s="7"/>
      <c r="I121" s="7"/>
      <c r="J121" s="7"/>
      <c r="K121" s="62" t="s">
        <v>199</v>
      </c>
      <c r="L121" s="27" t="s">
        <v>105</v>
      </c>
      <c r="M121" s="7"/>
      <c r="N121" s="7"/>
      <c r="O121" s="7"/>
      <c r="P121" s="7"/>
      <c r="Q121" s="7"/>
      <c r="R121" s="7"/>
      <c r="S121" s="7"/>
      <c r="T121" s="7"/>
      <c r="U121" s="62"/>
      <c r="V121" s="27" t="s">
        <v>108</v>
      </c>
      <c r="W121" s="7"/>
      <c r="X121" s="7"/>
      <c r="Y121" s="7"/>
      <c r="Z121" s="7"/>
      <c r="AA121" s="7"/>
      <c r="AB121" s="7"/>
      <c r="AC121" s="7"/>
    </row>
    <row r="122" spans="1:31" s="9" customFormat="1" ht="5.0999999999999996" customHeight="1" x14ac:dyDescent="0.25">
      <c r="A122" s="32"/>
      <c r="B122" s="31"/>
      <c r="C122" s="29"/>
      <c r="D122" s="32"/>
      <c r="E122" s="32"/>
      <c r="F122" s="32"/>
      <c r="G122" s="32"/>
      <c r="H122" s="32"/>
      <c r="I122" s="32"/>
      <c r="J122" s="32"/>
      <c r="K122" s="31"/>
      <c r="L122" s="29"/>
      <c r="M122" s="32"/>
      <c r="N122" s="32"/>
      <c r="O122" s="32"/>
      <c r="P122" s="32"/>
      <c r="Q122" s="32"/>
      <c r="R122" s="32"/>
      <c r="S122" s="32"/>
      <c r="T122" s="32"/>
      <c r="U122" s="31"/>
      <c r="V122" s="29"/>
      <c r="W122" s="32"/>
      <c r="X122" s="32"/>
      <c r="Y122" s="32"/>
      <c r="Z122" s="32"/>
      <c r="AA122" s="32"/>
      <c r="AB122" s="32"/>
      <c r="AC122" s="32"/>
    </row>
    <row r="123" spans="1:31" ht="20.100000000000001" customHeight="1" thickBot="1" x14ac:dyDescent="0.3">
      <c r="A123" s="7"/>
      <c r="B123" s="62"/>
      <c r="C123" s="27" t="s">
        <v>103</v>
      </c>
      <c r="D123" s="7"/>
      <c r="E123" s="7"/>
      <c r="F123" s="7"/>
      <c r="G123" s="7"/>
      <c r="H123" s="7"/>
      <c r="I123" s="7"/>
      <c r="J123" s="7"/>
      <c r="K123" s="62"/>
      <c r="L123" s="27" t="s">
        <v>106</v>
      </c>
      <c r="M123" s="7"/>
      <c r="N123" s="7"/>
      <c r="O123" s="7"/>
      <c r="P123" s="7"/>
      <c r="Q123" s="7"/>
      <c r="R123" s="7"/>
      <c r="S123" s="7"/>
      <c r="T123" s="7"/>
      <c r="U123" s="62"/>
      <c r="V123" s="27" t="s">
        <v>109</v>
      </c>
      <c r="W123" s="7"/>
      <c r="X123" s="7"/>
      <c r="Y123" s="7"/>
      <c r="Z123" s="7"/>
      <c r="AA123" s="7"/>
      <c r="AB123" s="7"/>
      <c r="AC123" s="7"/>
    </row>
    <row r="124" spans="1:31" s="9" customFormat="1" ht="5.0999999999999996" customHeight="1" x14ac:dyDescent="0.25">
      <c r="A124" s="32"/>
      <c r="B124" s="31"/>
      <c r="C124" s="29"/>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2"/>
      <c r="AB124" s="32"/>
      <c r="AC124" s="32"/>
    </row>
    <row r="125" spans="1:31" ht="20.100000000000001" customHeight="1" thickBot="1" x14ac:dyDescent="0.3">
      <c r="A125" s="41"/>
      <c r="B125" s="62"/>
      <c r="C125" s="159" t="s">
        <v>110</v>
      </c>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row>
    <row r="126" spans="1:31" ht="20.100000000000001" customHeight="1" x14ac:dyDescent="0.25">
      <c r="A126" s="41"/>
      <c r="B126" s="31"/>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row>
    <row r="127" spans="1:31" ht="20.100000000000001" customHeight="1" x14ac:dyDescent="0.25">
      <c r="A127" s="11"/>
      <c r="B127" s="11"/>
      <c r="F127" s="17"/>
      <c r="G127" s="7" t="s">
        <v>111</v>
      </c>
      <c r="H127" s="7"/>
      <c r="I127" s="7"/>
      <c r="J127" s="7"/>
      <c r="K127" s="17"/>
      <c r="L127" s="7" t="s">
        <v>112</v>
      </c>
      <c r="P127" s="17"/>
      <c r="Q127" s="7" t="s">
        <v>113</v>
      </c>
      <c r="R127" s="11"/>
      <c r="U127" s="17"/>
      <c r="V127" s="7" t="s">
        <v>114</v>
      </c>
      <c r="W127" s="7"/>
      <c r="X127" s="7"/>
      <c r="AB127" s="7"/>
      <c r="AC127" s="7"/>
      <c r="AD127" s="7"/>
      <c r="AE127" s="7"/>
    </row>
    <row r="128" spans="1:31" ht="5.0999999999999996" customHeight="1" x14ac:dyDescent="0.25">
      <c r="A128" s="49"/>
      <c r="B128" s="11"/>
      <c r="F128" s="7"/>
      <c r="G128" s="7"/>
      <c r="H128" s="7"/>
      <c r="I128" s="7"/>
      <c r="J128" s="7"/>
      <c r="K128" s="7"/>
      <c r="L128" s="7"/>
      <c r="M128" s="7"/>
      <c r="N128" s="7"/>
      <c r="O128" s="7"/>
      <c r="P128" s="7"/>
      <c r="Q128" s="7"/>
      <c r="R128" s="7"/>
      <c r="S128" s="7"/>
      <c r="T128" s="7"/>
      <c r="U128" s="7"/>
      <c r="V128" s="7"/>
      <c r="W128" s="7"/>
      <c r="X128" s="7"/>
      <c r="Y128" s="7"/>
      <c r="Z128" s="7"/>
      <c r="AA128" s="7"/>
      <c r="AB128" s="7"/>
      <c r="AC128" s="7"/>
    </row>
    <row r="129" spans="1:31" ht="20.100000000000001" customHeight="1" x14ac:dyDescent="0.25">
      <c r="A129" s="11"/>
      <c r="B129" s="11"/>
      <c r="F129" s="17"/>
      <c r="G129" s="7" t="s">
        <v>115</v>
      </c>
      <c r="H129" s="7"/>
      <c r="I129" s="7"/>
      <c r="J129" s="7"/>
      <c r="K129" s="11"/>
      <c r="L129" s="169"/>
      <c r="M129" s="169"/>
      <c r="N129" s="169"/>
      <c r="O129" s="169"/>
      <c r="P129" s="169"/>
      <c r="Q129" s="169"/>
      <c r="R129" s="169"/>
      <c r="S129" s="169"/>
      <c r="T129" s="169"/>
      <c r="U129" s="169"/>
      <c r="V129" s="169"/>
      <c r="W129" s="169"/>
      <c r="X129" s="169"/>
      <c r="Y129" s="169"/>
      <c r="Z129" s="169"/>
      <c r="AA129" s="169"/>
      <c r="AB129" s="169"/>
      <c r="AC129" s="169"/>
      <c r="AD129" s="31"/>
      <c r="AE129" s="7"/>
    </row>
    <row r="130" spans="1:31" ht="20.100000000000001" customHeight="1" x14ac:dyDescent="0.25">
      <c r="A130" s="50"/>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row>
    <row r="131" spans="1:31" ht="20.100000000000001" customHeight="1" x14ac:dyDescent="0.25">
      <c r="A131" s="36" t="s">
        <v>131</v>
      </c>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row>
    <row r="132" spans="1:31" ht="5.0999999999999996" customHeight="1" thickBot="1" x14ac:dyDescent="0.3">
      <c r="A132" s="41"/>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row>
    <row r="133" spans="1:31" ht="20.100000000000001" customHeight="1" x14ac:dyDescent="0.25">
      <c r="B133" s="57"/>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63"/>
    </row>
    <row r="134" spans="1:31" ht="20.100000000000001" customHeight="1" x14ac:dyDescent="0.25">
      <c r="B134" s="59"/>
      <c r="C134" s="60"/>
      <c r="D134" s="60"/>
      <c r="E134" s="60"/>
      <c r="F134" s="60"/>
      <c r="G134" s="60"/>
      <c r="H134" s="60"/>
      <c r="I134" s="60"/>
      <c r="J134" s="60"/>
      <c r="K134" s="60"/>
      <c r="L134" s="60"/>
      <c r="M134" s="60"/>
      <c r="N134" s="60"/>
      <c r="O134" s="60"/>
      <c r="P134" s="60"/>
      <c r="Q134" s="60"/>
      <c r="R134" s="60"/>
      <c r="S134" s="60"/>
      <c r="T134" s="60"/>
      <c r="U134" s="60"/>
      <c r="V134" s="60"/>
      <c r="W134" s="60"/>
      <c r="X134" s="60"/>
      <c r="Y134" s="60"/>
      <c r="Z134" s="60"/>
      <c r="AA134" s="60"/>
      <c r="AB134" s="64"/>
    </row>
    <row r="135" spans="1:31" ht="20.100000000000001" customHeight="1" x14ac:dyDescent="0.25">
      <c r="B135" s="59"/>
      <c r="C135" s="60"/>
      <c r="D135" s="60"/>
      <c r="E135" s="60"/>
      <c r="F135" s="60"/>
      <c r="G135" s="60"/>
      <c r="H135" s="60"/>
      <c r="I135" s="60"/>
      <c r="J135" s="60"/>
      <c r="K135" s="60"/>
      <c r="L135" s="60"/>
      <c r="M135" s="60"/>
      <c r="N135" s="60"/>
      <c r="O135" s="60"/>
      <c r="P135" s="60"/>
      <c r="Q135" s="60"/>
      <c r="R135" s="60"/>
      <c r="S135" s="60"/>
      <c r="T135" s="60"/>
      <c r="U135" s="60"/>
      <c r="V135" s="60"/>
      <c r="W135" s="60"/>
      <c r="X135" s="60"/>
      <c r="Y135" s="60"/>
      <c r="Z135" s="60"/>
      <c r="AA135" s="60"/>
      <c r="AB135" s="64"/>
    </row>
    <row r="136" spans="1:31" ht="20.100000000000001" customHeight="1" x14ac:dyDescent="0.25">
      <c r="B136" s="59"/>
      <c r="C136" s="60"/>
      <c r="D136" s="60"/>
      <c r="E136" s="60"/>
      <c r="F136" s="60"/>
      <c r="G136" s="60"/>
      <c r="H136" s="60"/>
      <c r="I136" s="60"/>
      <c r="J136" s="60"/>
      <c r="K136" s="60"/>
      <c r="L136" s="60"/>
      <c r="M136" s="60"/>
      <c r="N136" s="60"/>
      <c r="O136" s="60"/>
      <c r="P136" s="60"/>
      <c r="Q136" s="60"/>
      <c r="R136" s="60"/>
      <c r="S136" s="60"/>
      <c r="T136" s="60"/>
      <c r="U136" s="60"/>
      <c r="V136" s="60"/>
      <c r="W136" s="60"/>
      <c r="X136" s="60"/>
      <c r="Y136" s="60"/>
      <c r="Z136" s="60"/>
      <c r="AA136" s="60"/>
      <c r="AB136" s="64"/>
    </row>
    <row r="137" spans="1:31" ht="20.100000000000001" customHeight="1" x14ac:dyDescent="0.25">
      <c r="B137" s="59"/>
      <c r="C137" s="60"/>
      <c r="D137" s="60"/>
      <c r="E137" s="60"/>
      <c r="F137" s="60"/>
      <c r="G137" s="60"/>
      <c r="H137" s="60"/>
      <c r="I137" s="60"/>
      <c r="J137" s="60"/>
      <c r="K137" s="60"/>
      <c r="L137" s="60"/>
      <c r="M137" s="60"/>
      <c r="N137" s="60"/>
      <c r="O137" s="60"/>
      <c r="P137" s="60"/>
      <c r="Q137" s="60"/>
      <c r="R137" s="60"/>
      <c r="S137" s="60"/>
      <c r="T137" s="60"/>
      <c r="U137" s="60"/>
      <c r="V137" s="60"/>
      <c r="W137" s="60"/>
      <c r="X137" s="60"/>
      <c r="Y137" s="60"/>
      <c r="Z137" s="60"/>
      <c r="AA137" s="60"/>
      <c r="AB137" s="64"/>
    </row>
    <row r="138" spans="1:31" ht="20.100000000000001" customHeight="1" x14ac:dyDescent="0.25">
      <c r="B138" s="59"/>
      <c r="C138" s="60"/>
      <c r="D138" s="60"/>
      <c r="E138" s="60"/>
      <c r="F138" s="60"/>
      <c r="G138" s="60"/>
      <c r="H138" s="60"/>
      <c r="I138" s="60"/>
      <c r="J138" s="60"/>
      <c r="K138" s="60"/>
      <c r="L138" s="60"/>
      <c r="M138" s="60"/>
      <c r="N138" s="60"/>
      <c r="O138" s="60"/>
      <c r="P138" s="60"/>
      <c r="Q138" s="60"/>
      <c r="R138" s="60"/>
      <c r="S138" s="60"/>
      <c r="T138" s="60"/>
      <c r="U138" s="60"/>
      <c r="V138" s="60"/>
      <c r="W138" s="60"/>
      <c r="X138" s="60"/>
      <c r="Y138" s="60"/>
      <c r="Z138" s="60"/>
      <c r="AA138" s="60"/>
      <c r="AB138" s="64"/>
    </row>
    <row r="139" spans="1:31" ht="20.100000000000001" customHeight="1" x14ac:dyDescent="0.25">
      <c r="B139" s="59"/>
      <c r="C139" s="60"/>
      <c r="D139" s="60"/>
      <c r="E139" s="60"/>
      <c r="F139" s="60"/>
      <c r="G139" s="60"/>
      <c r="H139" s="60"/>
      <c r="I139" s="60"/>
      <c r="J139" s="60"/>
      <c r="K139" s="60"/>
      <c r="L139" s="60"/>
      <c r="M139" s="60"/>
      <c r="N139" s="60"/>
      <c r="O139" s="60"/>
      <c r="P139" s="60"/>
      <c r="Q139" s="60"/>
      <c r="R139" s="60"/>
      <c r="S139" s="60"/>
      <c r="T139" s="60"/>
      <c r="U139" s="60"/>
      <c r="V139" s="60"/>
      <c r="W139" s="60"/>
      <c r="X139" s="60"/>
      <c r="Y139" s="60"/>
      <c r="Z139" s="60"/>
      <c r="AA139" s="60"/>
      <c r="AB139" s="64"/>
    </row>
    <row r="140" spans="1:31" ht="20.100000000000001" customHeight="1" x14ac:dyDescent="0.25">
      <c r="B140" s="59"/>
      <c r="C140" s="60"/>
      <c r="D140" s="60"/>
      <c r="E140" s="60"/>
      <c r="F140" s="60"/>
      <c r="G140" s="60"/>
      <c r="H140" s="60"/>
      <c r="I140" s="60"/>
      <c r="J140" s="60"/>
      <c r="K140" s="60"/>
      <c r="L140" s="60"/>
      <c r="M140" s="60"/>
      <c r="N140" s="60"/>
      <c r="O140" s="60"/>
      <c r="P140" s="60"/>
      <c r="Q140" s="60"/>
      <c r="R140" s="60"/>
      <c r="S140" s="60"/>
      <c r="T140" s="60"/>
      <c r="U140" s="60"/>
      <c r="V140" s="60"/>
      <c r="W140" s="60"/>
      <c r="X140" s="60"/>
      <c r="Y140" s="60"/>
      <c r="Z140" s="60"/>
      <c r="AA140" s="60"/>
      <c r="AB140" s="64"/>
    </row>
    <row r="141" spans="1:31" ht="20.100000000000001" customHeight="1" x14ac:dyDescent="0.25">
      <c r="B141" s="59"/>
      <c r="C141" s="60"/>
      <c r="D141" s="60"/>
      <c r="E141" s="60"/>
      <c r="F141" s="60"/>
      <c r="G141" s="60"/>
      <c r="H141" s="60"/>
      <c r="I141" s="60"/>
      <c r="J141" s="60"/>
      <c r="K141" s="60"/>
      <c r="L141" s="60"/>
      <c r="M141" s="60"/>
      <c r="N141" s="60"/>
      <c r="O141" s="60"/>
      <c r="P141" s="60"/>
      <c r="Q141" s="60"/>
      <c r="R141" s="60"/>
      <c r="S141" s="60"/>
      <c r="T141" s="60"/>
      <c r="U141" s="60"/>
      <c r="V141" s="60"/>
      <c r="W141" s="60"/>
      <c r="X141" s="60"/>
      <c r="Y141" s="60"/>
      <c r="Z141" s="60"/>
      <c r="AA141" s="60"/>
      <c r="AB141" s="64"/>
    </row>
    <row r="142" spans="1:31" ht="20.100000000000001" customHeight="1" x14ac:dyDescent="0.25">
      <c r="B142" s="59"/>
      <c r="C142" s="60"/>
      <c r="D142" s="60"/>
      <c r="E142" s="60"/>
      <c r="F142" s="60"/>
      <c r="G142" s="60"/>
      <c r="H142" s="60"/>
      <c r="I142" s="60"/>
      <c r="J142" s="60"/>
      <c r="K142" s="60"/>
      <c r="L142" s="60"/>
      <c r="M142" s="60"/>
      <c r="N142" s="60"/>
      <c r="O142" s="60"/>
      <c r="P142" s="60"/>
      <c r="Q142" s="60"/>
      <c r="R142" s="60"/>
      <c r="S142" s="60"/>
      <c r="T142" s="60"/>
      <c r="U142" s="60"/>
      <c r="V142" s="60"/>
      <c r="W142" s="60"/>
      <c r="X142" s="60"/>
      <c r="Y142" s="60"/>
      <c r="Z142" s="60"/>
      <c r="AA142" s="60"/>
      <c r="AB142" s="64"/>
    </row>
    <row r="143" spans="1:31" ht="20.100000000000001" customHeight="1" x14ac:dyDescent="0.25">
      <c r="B143" s="59"/>
      <c r="C143" s="60"/>
      <c r="D143" s="60"/>
      <c r="E143" s="60"/>
      <c r="F143" s="60"/>
      <c r="G143" s="60"/>
      <c r="H143" s="60"/>
      <c r="I143" s="60"/>
      <c r="J143" s="60"/>
      <c r="K143" s="60"/>
      <c r="L143" s="60"/>
      <c r="M143" s="60"/>
      <c r="N143" s="60"/>
      <c r="O143" s="60"/>
      <c r="P143" s="60"/>
      <c r="Q143" s="60"/>
      <c r="R143" s="60"/>
      <c r="S143" s="60"/>
      <c r="T143" s="60"/>
      <c r="U143" s="60"/>
      <c r="V143" s="60"/>
      <c r="W143" s="60"/>
      <c r="X143" s="60"/>
      <c r="Y143" s="60"/>
      <c r="Z143" s="60"/>
      <c r="AA143" s="60"/>
      <c r="AB143" s="64"/>
    </row>
    <row r="144" spans="1:31" ht="20.100000000000001" customHeight="1" x14ac:dyDescent="0.25">
      <c r="B144" s="59"/>
      <c r="C144" s="60"/>
      <c r="D144" s="60"/>
      <c r="E144" s="60"/>
      <c r="F144" s="60"/>
      <c r="G144" s="60"/>
      <c r="H144" s="60"/>
      <c r="I144" s="60"/>
      <c r="J144" s="60"/>
      <c r="K144" s="60"/>
      <c r="L144" s="60"/>
      <c r="M144" s="60"/>
      <c r="N144" s="60"/>
      <c r="O144" s="60"/>
      <c r="P144" s="60"/>
      <c r="Q144" s="60"/>
      <c r="R144" s="60"/>
      <c r="S144" s="60"/>
      <c r="T144" s="60"/>
      <c r="U144" s="60"/>
      <c r="V144" s="60"/>
      <c r="W144" s="60"/>
      <c r="X144" s="60"/>
      <c r="Y144" s="60"/>
      <c r="Z144" s="60"/>
      <c r="AA144" s="60"/>
      <c r="AB144" s="64"/>
    </row>
    <row r="145" spans="1:29" ht="20.100000000000001" customHeight="1" x14ac:dyDescent="0.25">
      <c r="B145" s="59"/>
      <c r="C145" s="60"/>
      <c r="D145" s="60"/>
      <c r="E145" s="60"/>
      <c r="F145" s="60"/>
      <c r="G145" s="60"/>
      <c r="H145" s="60"/>
      <c r="I145" s="60"/>
      <c r="J145" s="60"/>
      <c r="K145" s="60"/>
      <c r="L145" s="60"/>
      <c r="M145" s="60"/>
      <c r="N145" s="60"/>
      <c r="O145" s="60"/>
      <c r="P145" s="60"/>
      <c r="Q145" s="60"/>
      <c r="R145" s="60"/>
      <c r="S145" s="60"/>
      <c r="T145" s="60"/>
      <c r="U145" s="60"/>
      <c r="V145" s="60"/>
      <c r="W145" s="60"/>
      <c r="X145" s="60"/>
      <c r="Y145" s="60"/>
      <c r="Z145" s="60"/>
      <c r="AA145" s="60"/>
      <c r="AB145" s="64"/>
    </row>
    <row r="146" spans="1:29" ht="20.100000000000001" customHeight="1" x14ac:dyDescent="0.25">
      <c r="B146" s="59"/>
      <c r="C146" s="60"/>
      <c r="D146" s="60"/>
      <c r="E146" s="60"/>
      <c r="F146" s="60"/>
      <c r="G146" s="60"/>
      <c r="H146" s="60"/>
      <c r="I146" s="60"/>
      <c r="J146" s="60"/>
      <c r="K146" s="60"/>
      <c r="L146" s="60"/>
      <c r="M146" s="60"/>
      <c r="N146" s="60"/>
      <c r="O146" s="60"/>
      <c r="P146" s="60"/>
      <c r="Q146" s="60"/>
      <c r="R146" s="60"/>
      <c r="S146" s="60"/>
      <c r="T146" s="60"/>
      <c r="U146" s="60"/>
      <c r="V146" s="60"/>
      <c r="W146" s="60"/>
      <c r="X146" s="60"/>
      <c r="Y146" s="60"/>
      <c r="Z146" s="60"/>
      <c r="AA146" s="60"/>
      <c r="AB146" s="64"/>
    </row>
    <row r="147" spans="1:29" ht="20.100000000000001" customHeight="1" x14ac:dyDescent="0.25">
      <c r="B147" s="59"/>
      <c r="C147" s="60"/>
      <c r="D147" s="60"/>
      <c r="E147" s="60"/>
      <c r="F147" s="60"/>
      <c r="G147" s="60"/>
      <c r="H147" s="60"/>
      <c r="I147" s="60"/>
      <c r="J147" s="60"/>
      <c r="K147" s="60"/>
      <c r="L147" s="60"/>
      <c r="M147" s="60"/>
      <c r="N147" s="60"/>
      <c r="O147" s="60"/>
      <c r="P147" s="60"/>
      <c r="Q147" s="60"/>
      <c r="R147" s="60"/>
      <c r="S147" s="60"/>
      <c r="T147" s="60"/>
      <c r="U147" s="60"/>
      <c r="V147" s="60"/>
      <c r="W147" s="60"/>
      <c r="X147" s="60"/>
      <c r="Y147" s="60"/>
      <c r="Z147" s="60"/>
      <c r="AA147" s="60"/>
      <c r="AB147" s="64"/>
    </row>
    <row r="148" spans="1:29" ht="20.100000000000001" customHeight="1" x14ac:dyDescent="0.25">
      <c r="B148" s="59"/>
      <c r="C148" s="60"/>
      <c r="D148" s="60"/>
      <c r="E148" s="60"/>
      <c r="F148" s="60"/>
      <c r="G148" s="60"/>
      <c r="H148" s="60"/>
      <c r="I148" s="60"/>
      <c r="J148" s="60"/>
      <c r="K148" s="60"/>
      <c r="L148" s="60"/>
      <c r="M148" s="60"/>
      <c r="N148" s="60"/>
      <c r="O148" s="60"/>
      <c r="P148" s="60"/>
      <c r="Q148" s="60"/>
      <c r="R148" s="60"/>
      <c r="S148" s="60"/>
      <c r="T148" s="60"/>
      <c r="U148" s="60"/>
      <c r="V148" s="60"/>
      <c r="W148" s="60"/>
      <c r="X148" s="60"/>
      <c r="Y148" s="60"/>
      <c r="Z148" s="60"/>
      <c r="AA148" s="60"/>
      <c r="AB148" s="64"/>
    </row>
    <row r="149" spans="1:29" ht="20.100000000000001" customHeight="1" x14ac:dyDescent="0.25">
      <c r="B149" s="59"/>
      <c r="C149" s="60"/>
      <c r="D149" s="60"/>
      <c r="E149" s="60"/>
      <c r="F149" s="60"/>
      <c r="G149" s="60"/>
      <c r="H149" s="60"/>
      <c r="I149" s="60"/>
      <c r="J149" s="60"/>
      <c r="K149" s="60"/>
      <c r="L149" s="60"/>
      <c r="M149" s="60"/>
      <c r="N149" s="60"/>
      <c r="O149" s="60"/>
      <c r="P149" s="60"/>
      <c r="Q149" s="60"/>
      <c r="R149" s="60"/>
      <c r="S149" s="60"/>
      <c r="T149" s="60"/>
      <c r="U149" s="60"/>
      <c r="V149" s="60"/>
      <c r="W149" s="60"/>
      <c r="X149" s="60"/>
      <c r="Y149" s="60"/>
      <c r="Z149" s="60"/>
      <c r="AA149" s="60"/>
      <c r="AB149" s="64"/>
    </row>
    <row r="150" spans="1:29" ht="20.100000000000001" customHeight="1" x14ac:dyDescent="0.25">
      <c r="B150" s="59"/>
      <c r="C150" s="60"/>
      <c r="D150" s="60"/>
      <c r="E150" s="60"/>
      <c r="F150" s="60"/>
      <c r="G150" s="60"/>
      <c r="H150" s="60"/>
      <c r="I150" s="60"/>
      <c r="J150" s="60"/>
      <c r="K150" s="60"/>
      <c r="L150" s="60"/>
      <c r="M150" s="60"/>
      <c r="N150" s="60"/>
      <c r="O150" s="60"/>
      <c r="P150" s="60"/>
      <c r="Q150" s="60"/>
      <c r="R150" s="60"/>
      <c r="S150" s="60"/>
      <c r="T150" s="60"/>
      <c r="U150" s="60"/>
      <c r="V150" s="60"/>
      <c r="W150" s="60"/>
      <c r="X150" s="60"/>
      <c r="Y150" s="60"/>
      <c r="Z150" s="60"/>
      <c r="AA150" s="60"/>
      <c r="AB150" s="64"/>
    </row>
    <row r="151" spans="1:29" ht="20.100000000000001" customHeight="1" x14ac:dyDescent="0.25">
      <c r="B151" s="59"/>
      <c r="C151" s="60"/>
      <c r="D151" s="60"/>
      <c r="E151" s="60"/>
      <c r="F151" s="60"/>
      <c r="G151" s="60"/>
      <c r="H151" s="60"/>
      <c r="I151" s="60"/>
      <c r="J151" s="60"/>
      <c r="K151" s="60"/>
      <c r="L151" s="60"/>
      <c r="M151" s="60"/>
      <c r="N151" s="60"/>
      <c r="O151" s="60"/>
      <c r="P151" s="60"/>
      <c r="Q151" s="60"/>
      <c r="R151" s="60"/>
      <c r="S151" s="60"/>
      <c r="T151" s="60"/>
      <c r="U151" s="60"/>
      <c r="V151" s="60"/>
      <c r="W151" s="60"/>
      <c r="X151" s="60"/>
      <c r="Y151" s="60"/>
      <c r="Z151" s="60"/>
      <c r="AA151" s="60"/>
      <c r="AB151" s="64"/>
    </row>
    <row r="152" spans="1:29" ht="20.100000000000001" customHeight="1" thickBot="1" x14ac:dyDescent="0.3">
      <c r="B152" s="65"/>
      <c r="C152" s="66"/>
      <c r="D152" s="66"/>
      <c r="E152" s="66"/>
      <c r="F152" s="66"/>
      <c r="G152" s="66"/>
      <c r="H152" s="66"/>
      <c r="I152" s="66"/>
      <c r="J152" s="66"/>
      <c r="K152" s="66"/>
      <c r="L152" s="66"/>
      <c r="M152" s="66"/>
      <c r="N152" s="66"/>
      <c r="O152" s="66"/>
      <c r="P152" s="66"/>
      <c r="Q152" s="66"/>
      <c r="R152" s="66"/>
      <c r="S152" s="66"/>
      <c r="T152" s="66"/>
      <c r="U152" s="66"/>
      <c r="V152" s="66"/>
      <c r="W152" s="66"/>
      <c r="X152" s="66"/>
      <c r="Y152" s="66"/>
      <c r="Z152" s="66"/>
      <c r="AA152" s="66"/>
      <c r="AB152" s="67"/>
    </row>
    <row r="153" spans="1:29" ht="20.100000000000001" customHeight="1" thickTop="1" x14ac:dyDescent="0.25">
      <c r="A153" s="2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row>
    <row r="154" spans="1:29" s="14" customFormat="1" ht="20.100000000000001" customHeight="1" x14ac:dyDescent="0.25">
      <c r="A154" s="47" t="s">
        <v>116</v>
      </c>
      <c r="B154" s="51"/>
      <c r="C154" s="51"/>
      <c r="D154" s="51"/>
      <c r="E154" s="51"/>
      <c r="F154" s="51"/>
      <c r="G154" s="51"/>
      <c r="H154" s="51"/>
      <c r="I154" s="51"/>
      <c r="J154" s="51"/>
      <c r="K154" s="51"/>
      <c r="L154" s="51"/>
      <c r="M154" s="51"/>
      <c r="N154" s="51"/>
      <c r="O154" s="51"/>
      <c r="P154" s="51"/>
      <c r="Q154" s="51"/>
      <c r="R154" s="51"/>
      <c r="S154" s="51"/>
      <c r="T154" s="51"/>
      <c r="U154" s="51"/>
      <c r="V154" s="51"/>
      <c r="W154" s="51"/>
      <c r="X154" s="51"/>
      <c r="Y154" s="51"/>
      <c r="Z154" s="51"/>
      <c r="AA154" s="51"/>
      <c r="AB154" s="51"/>
      <c r="AC154" s="51"/>
    </row>
    <row r="155" spans="1:29" ht="20.100000000000001" customHeight="1" x14ac:dyDescent="0.25">
      <c r="A155" s="160" t="s">
        <v>222</v>
      </c>
      <c r="B155" s="161"/>
      <c r="C155" s="161"/>
      <c r="D155" s="161"/>
      <c r="E155" s="161"/>
      <c r="F155" s="161"/>
      <c r="G155" s="161"/>
      <c r="H155" s="161"/>
      <c r="I155" s="161"/>
      <c r="J155" s="161"/>
      <c r="K155" s="161"/>
      <c r="L155" s="161"/>
      <c r="M155" s="161"/>
      <c r="N155" s="161"/>
      <c r="O155" s="161"/>
      <c r="P155" s="161"/>
      <c r="Q155" s="161"/>
      <c r="R155" s="161"/>
      <c r="S155" s="161"/>
      <c r="T155" s="161"/>
      <c r="U155" s="161"/>
      <c r="V155" s="161"/>
      <c r="W155" s="161"/>
      <c r="X155" s="161"/>
      <c r="Y155" s="161"/>
      <c r="Z155" s="161"/>
      <c r="AA155" s="161"/>
      <c r="AB155" s="161"/>
      <c r="AC155" s="162"/>
    </row>
    <row r="156" spans="1:29" ht="20.100000000000001" customHeight="1" x14ac:dyDescent="0.25">
      <c r="A156" s="163"/>
      <c r="B156" s="164"/>
      <c r="C156" s="164"/>
      <c r="D156" s="164"/>
      <c r="E156" s="164"/>
      <c r="F156" s="164"/>
      <c r="G156" s="164"/>
      <c r="H156" s="164"/>
      <c r="I156" s="164"/>
      <c r="J156" s="164"/>
      <c r="K156" s="164"/>
      <c r="L156" s="164"/>
      <c r="M156" s="164"/>
      <c r="N156" s="164"/>
      <c r="O156" s="164"/>
      <c r="P156" s="164"/>
      <c r="Q156" s="164"/>
      <c r="R156" s="164"/>
      <c r="S156" s="164"/>
      <c r="T156" s="164"/>
      <c r="U156" s="164"/>
      <c r="V156" s="164"/>
      <c r="W156" s="164"/>
      <c r="X156" s="164"/>
      <c r="Y156" s="164"/>
      <c r="Z156" s="164"/>
      <c r="AA156" s="164"/>
      <c r="AB156" s="164"/>
      <c r="AC156" s="165"/>
    </row>
    <row r="157" spans="1:29" ht="20.100000000000001" customHeight="1" x14ac:dyDescent="0.25">
      <c r="A157" s="163"/>
      <c r="B157" s="164"/>
      <c r="C157" s="164"/>
      <c r="D157" s="164"/>
      <c r="E157" s="164"/>
      <c r="F157" s="164"/>
      <c r="G157" s="164"/>
      <c r="H157" s="164"/>
      <c r="I157" s="164"/>
      <c r="J157" s="164"/>
      <c r="K157" s="164"/>
      <c r="L157" s="164"/>
      <c r="M157" s="164"/>
      <c r="N157" s="164"/>
      <c r="O157" s="164"/>
      <c r="P157" s="164"/>
      <c r="Q157" s="164"/>
      <c r="R157" s="164"/>
      <c r="S157" s="164"/>
      <c r="T157" s="164"/>
      <c r="U157" s="164"/>
      <c r="V157" s="164"/>
      <c r="W157" s="164"/>
      <c r="X157" s="164"/>
      <c r="Y157" s="164"/>
      <c r="Z157" s="164"/>
      <c r="AA157" s="164"/>
      <c r="AB157" s="164"/>
      <c r="AC157" s="165"/>
    </row>
    <row r="158" spans="1:29" ht="20.100000000000001" customHeight="1" x14ac:dyDescent="0.25">
      <c r="A158" s="163"/>
      <c r="B158" s="164"/>
      <c r="C158" s="164"/>
      <c r="D158" s="164"/>
      <c r="E158" s="164"/>
      <c r="F158" s="164"/>
      <c r="G158" s="164"/>
      <c r="H158" s="164"/>
      <c r="I158" s="164"/>
      <c r="J158" s="164"/>
      <c r="K158" s="164"/>
      <c r="L158" s="164"/>
      <c r="M158" s="164"/>
      <c r="N158" s="164"/>
      <c r="O158" s="164"/>
      <c r="P158" s="164"/>
      <c r="Q158" s="164"/>
      <c r="R158" s="164"/>
      <c r="S158" s="164"/>
      <c r="T158" s="164"/>
      <c r="U158" s="164"/>
      <c r="V158" s="164"/>
      <c r="W158" s="164"/>
      <c r="X158" s="164"/>
      <c r="Y158" s="164"/>
      <c r="Z158" s="164"/>
      <c r="AA158" s="164"/>
      <c r="AB158" s="164"/>
      <c r="AC158" s="165"/>
    </row>
    <row r="159" spans="1:29" ht="20.100000000000001" customHeight="1" x14ac:dyDescent="0.25">
      <c r="A159" s="163"/>
      <c r="B159" s="164"/>
      <c r="C159" s="164"/>
      <c r="D159" s="164"/>
      <c r="E159" s="164"/>
      <c r="F159" s="164"/>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5"/>
    </row>
    <row r="160" spans="1:29" ht="20.100000000000001" customHeight="1" x14ac:dyDescent="0.25">
      <c r="A160" s="163"/>
      <c r="B160" s="164"/>
      <c r="C160" s="164"/>
      <c r="D160" s="164"/>
      <c r="E160" s="164"/>
      <c r="F160" s="164"/>
      <c r="G160" s="164"/>
      <c r="H160" s="164"/>
      <c r="I160" s="164"/>
      <c r="J160" s="164"/>
      <c r="K160" s="164"/>
      <c r="L160" s="164"/>
      <c r="M160" s="164"/>
      <c r="N160" s="164"/>
      <c r="O160" s="164"/>
      <c r="P160" s="164"/>
      <c r="Q160" s="164"/>
      <c r="R160" s="164"/>
      <c r="S160" s="164"/>
      <c r="T160" s="164"/>
      <c r="U160" s="164"/>
      <c r="V160" s="164"/>
      <c r="W160" s="164"/>
      <c r="X160" s="164"/>
      <c r="Y160" s="164"/>
      <c r="Z160" s="164"/>
      <c r="AA160" s="164"/>
      <c r="AB160" s="164"/>
      <c r="AC160" s="165"/>
    </row>
    <row r="161" spans="1:31" ht="20.100000000000001" customHeight="1" x14ac:dyDescent="0.25">
      <c r="A161" s="163"/>
      <c r="B161" s="164"/>
      <c r="C161" s="164"/>
      <c r="D161" s="164"/>
      <c r="E161" s="164"/>
      <c r="F161" s="164"/>
      <c r="G161" s="164"/>
      <c r="H161" s="164"/>
      <c r="I161" s="164"/>
      <c r="J161" s="164"/>
      <c r="K161" s="164"/>
      <c r="L161" s="164"/>
      <c r="M161" s="164"/>
      <c r="N161" s="164"/>
      <c r="O161" s="164"/>
      <c r="P161" s="164"/>
      <c r="Q161" s="164"/>
      <c r="R161" s="164"/>
      <c r="S161" s="164"/>
      <c r="T161" s="164"/>
      <c r="U161" s="164"/>
      <c r="V161" s="164"/>
      <c r="W161" s="164"/>
      <c r="X161" s="164"/>
      <c r="Y161" s="164"/>
      <c r="Z161" s="164"/>
      <c r="AA161" s="164"/>
      <c r="AB161" s="164"/>
      <c r="AC161" s="165"/>
    </row>
    <row r="162" spans="1:31" ht="20.100000000000001" customHeight="1" x14ac:dyDescent="0.25">
      <c r="A162" s="163"/>
      <c r="B162" s="164"/>
      <c r="C162" s="164"/>
      <c r="D162" s="164"/>
      <c r="E162" s="164"/>
      <c r="F162" s="164"/>
      <c r="G162" s="164"/>
      <c r="H162" s="164"/>
      <c r="I162" s="164"/>
      <c r="J162" s="164"/>
      <c r="K162" s="164"/>
      <c r="L162" s="164"/>
      <c r="M162" s="164"/>
      <c r="N162" s="164"/>
      <c r="O162" s="164"/>
      <c r="P162" s="164"/>
      <c r="Q162" s="164"/>
      <c r="R162" s="164"/>
      <c r="S162" s="164"/>
      <c r="T162" s="164"/>
      <c r="U162" s="164"/>
      <c r="V162" s="164"/>
      <c r="W162" s="164"/>
      <c r="X162" s="164"/>
      <c r="Y162" s="164"/>
      <c r="Z162" s="164"/>
      <c r="AA162" s="164"/>
      <c r="AB162" s="164"/>
      <c r="AC162" s="165"/>
    </row>
    <row r="163" spans="1:31" ht="20.100000000000001" customHeight="1" x14ac:dyDescent="0.25">
      <c r="A163" s="163"/>
      <c r="B163" s="164"/>
      <c r="C163" s="164"/>
      <c r="D163" s="164"/>
      <c r="E163" s="164"/>
      <c r="F163" s="164"/>
      <c r="G163" s="164"/>
      <c r="H163" s="164"/>
      <c r="I163" s="164"/>
      <c r="J163" s="164"/>
      <c r="K163" s="164"/>
      <c r="L163" s="164"/>
      <c r="M163" s="164"/>
      <c r="N163" s="164"/>
      <c r="O163" s="164"/>
      <c r="P163" s="164"/>
      <c r="Q163" s="164"/>
      <c r="R163" s="164"/>
      <c r="S163" s="164"/>
      <c r="T163" s="164"/>
      <c r="U163" s="164"/>
      <c r="V163" s="164"/>
      <c r="W163" s="164"/>
      <c r="X163" s="164"/>
      <c r="Y163" s="164"/>
      <c r="Z163" s="164"/>
      <c r="AA163" s="164"/>
      <c r="AB163" s="164"/>
      <c r="AC163" s="165"/>
    </row>
    <row r="164" spans="1:31" ht="20.100000000000001" customHeight="1" thickBot="1" x14ac:dyDescent="0.3">
      <c r="A164" s="166"/>
      <c r="B164" s="167"/>
      <c r="C164" s="167"/>
      <c r="D164" s="167"/>
      <c r="E164" s="167"/>
      <c r="F164" s="167"/>
      <c r="G164" s="167"/>
      <c r="H164" s="167"/>
      <c r="I164" s="167"/>
      <c r="J164" s="167"/>
      <c r="K164" s="167"/>
      <c r="L164" s="167"/>
      <c r="M164" s="167"/>
      <c r="N164" s="167"/>
      <c r="O164" s="167"/>
      <c r="P164" s="167"/>
      <c r="Q164" s="167"/>
      <c r="R164" s="167"/>
      <c r="S164" s="167"/>
      <c r="T164" s="167"/>
      <c r="U164" s="167"/>
      <c r="V164" s="167"/>
      <c r="W164" s="167"/>
      <c r="X164" s="167"/>
      <c r="Y164" s="167"/>
      <c r="Z164" s="167"/>
      <c r="AA164" s="167"/>
      <c r="AB164" s="167"/>
      <c r="AC164" s="168"/>
    </row>
    <row r="165" spans="1:31" ht="20.100000000000001" customHeight="1" x14ac:dyDescent="0.25">
      <c r="A165" s="2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row>
    <row r="166" spans="1:31" ht="20.100000000000001" customHeight="1" x14ac:dyDescent="0.25">
      <c r="A166" s="52" t="s">
        <v>45</v>
      </c>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row>
    <row r="167" spans="1:31" ht="20.100000000000001" customHeight="1" x14ac:dyDescent="0.25">
      <c r="A167" s="4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row>
    <row r="168" spans="1:31" ht="20.100000000000001" customHeight="1" x14ac:dyDescent="0.25">
      <c r="A168" s="36" t="s">
        <v>132</v>
      </c>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row>
    <row r="169" spans="1:31" ht="5.0999999999999996" customHeight="1" x14ac:dyDescent="0.25">
      <c r="A169" s="28"/>
      <c r="B169" s="28"/>
      <c r="C169" s="28"/>
      <c r="D169" s="7"/>
      <c r="E169" s="28"/>
      <c r="F169" s="7"/>
      <c r="G169" s="7"/>
      <c r="H169" s="7"/>
      <c r="I169" s="7"/>
      <c r="J169" s="7"/>
      <c r="K169" s="7"/>
      <c r="L169" s="7"/>
      <c r="M169" s="7"/>
      <c r="N169" s="7"/>
      <c r="O169" s="7"/>
      <c r="P169" s="7"/>
      <c r="Q169" s="7"/>
      <c r="R169" s="7"/>
      <c r="S169" s="7"/>
      <c r="T169" s="7"/>
      <c r="U169" s="7"/>
      <c r="V169" s="7"/>
      <c r="W169" s="7"/>
      <c r="X169" s="7"/>
      <c r="Y169" s="7"/>
      <c r="Z169" s="7"/>
      <c r="AA169" s="7"/>
      <c r="AB169" s="7"/>
      <c r="AC169" s="7"/>
    </row>
    <row r="170" spans="1:31" ht="20.100000000000001" customHeight="1" thickBot="1" x14ac:dyDescent="0.3">
      <c r="A170" s="11"/>
      <c r="B170" s="62" t="s">
        <v>199</v>
      </c>
      <c r="C170" s="7" t="s">
        <v>117</v>
      </c>
      <c r="G170" s="62"/>
      <c r="H170" s="7" t="s">
        <v>118</v>
      </c>
      <c r="I170" s="7"/>
      <c r="J170" s="62"/>
      <c r="K170" s="7" t="s">
        <v>119</v>
      </c>
      <c r="O170" s="62"/>
      <c r="P170" s="7" t="s">
        <v>120</v>
      </c>
      <c r="R170" s="11"/>
      <c r="S170" s="62" t="s">
        <v>199</v>
      </c>
      <c r="T170" s="7" t="s">
        <v>121</v>
      </c>
      <c r="W170" s="169" t="s">
        <v>204</v>
      </c>
      <c r="X170" s="169"/>
      <c r="Y170" s="169"/>
      <c r="Z170" s="169"/>
      <c r="AA170" s="169"/>
      <c r="AB170" s="169"/>
      <c r="AC170" s="169"/>
      <c r="AD170" s="7"/>
      <c r="AE170" s="7"/>
    </row>
    <row r="171" spans="1:31" ht="20.100000000000001" customHeight="1" x14ac:dyDescent="0.25">
      <c r="A171" s="2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row>
    <row r="172" spans="1:31" ht="20.100000000000001" customHeight="1" x14ac:dyDescent="0.25">
      <c r="A172" s="2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row>
    <row r="173" spans="1:31" ht="20.100000000000001" customHeight="1" thickBot="1" x14ac:dyDescent="0.3">
      <c r="A173" s="36" t="s">
        <v>133</v>
      </c>
      <c r="E173" s="7"/>
      <c r="F173" s="7"/>
      <c r="G173" s="7"/>
      <c r="H173" s="7"/>
      <c r="I173" s="7"/>
      <c r="J173" s="7"/>
      <c r="K173" s="7"/>
      <c r="L173" s="7"/>
      <c r="M173" s="7"/>
      <c r="N173" s="7"/>
      <c r="O173" s="7"/>
      <c r="P173" s="7"/>
      <c r="Q173" s="7"/>
      <c r="R173" s="7"/>
      <c r="S173" s="7"/>
      <c r="T173" s="7"/>
      <c r="U173" s="62"/>
      <c r="V173" s="7" t="s">
        <v>98</v>
      </c>
      <c r="W173" s="7"/>
      <c r="X173" s="62" t="s">
        <v>199</v>
      </c>
      <c r="Y173" s="7" t="s">
        <v>99</v>
      </c>
      <c r="Z173" s="7"/>
      <c r="AA173" s="7"/>
      <c r="AB173" s="27"/>
      <c r="AC173" s="7"/>
    </row>
    <row r="174" spans="1:31" ht="20.100000000000001" customHeight="1" x14ac:dyDescent="0.25">
      <c r="A174" s="7"/>
      <c r="B174" s="159" t="s">
        <v>122</v>
      </c>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row>
    <row r="175" spans="1:31" ht="20.100000000000001" customHeight="1" x14ac:dyDescent="0.25">
      <c r="A175" s="7"/>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row>
    <row r="176" spans="1:31" ht="20.100000000000001" customHeight="1" x14ac:dyDescent="0.25">
      <c r="A176" s="4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row>
    <row r="177" spans="1:29" ht="20.100000000000001" customHeight="1" x14ac:dyDescent="0.25">
      <c r="A177" s="4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row>
    <row r="178" spans="1:29" ht="20.100000000000001" customHeight="1" x14ac:dyDescent="0.25">
      <c r="A178" s="36" t="s">
        <v>134</v>
      </c>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row>
    <row r="179" spans="1:29" ht="20.100000000000001" customHeight="1" thickBot="1" x14ac:dyDescent="0.3">
      <c r="B179" s="62" t="s">
        <v>199</v>
      </c>
      <c r="C179" s="53" t="s">
        <v>126</v>
      </c>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row>
    <row r="180" spans="1:29" ht="5.0999999999999996" customHeight="1" x14ac:dyDescent="0.25">
      <c r="A180" s="28"/>
      <c r="B180" s="28"/>
      <c r="C180" s="28"/>
      <c r="D180" s="7"/>
      <c r="E180" s="28"/>
      <c r="F180" s="7"/>
      <c r="G180" s="7"/>
      <c r="H180" s="7"/>
      <c r="I180" s="7"/>
      <c r="J180" s="7"/>
      <c r="K180" s="7"/>
      <c r="L180" s="7"/>
      <c r="M180" s="7"/>
      <c r="N180" s="7"/>
      <c r="O180" s="7"/>
      <c r="P180" s="7"/>
      <c r="Q180" s="7"/>
      <c r="R180" s="7"/>
      <c r="S180" s="7"/>
      <c r="T180" s="7"/>
      <c r="U180" s="7"/>
      <c r="V180" s="7"/>
      <c r="W180" s="7"/>
      <c r="X180" s="7"/>
      <c r="Y180" s="7"/>
      <c r="Z180" s="7"/>
      <c r="AA180" s="7"/>
      <c r="AB180" s="7"/>
      <c r="AC180" s="7"/>
    </row>
    <row r="181" spans="1:29" ht="20.100000000000001" customHeight="1" thickBot="1" x14ac:dyDescent="0.3">
      <c r="B181" s="62" t="s">
        <v>199</v>
      </c>
      <c r="C181" s="53" t="s">
        <v>123</v>
      </c>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row>
    <row r="182" spans="1:29" ht="5.0999999999999996" customHeight="1" x14ac:dyDescent="0.25">
      <c r="A182" s="28"/>
      <c r="B182" s="28"/>
      <c r="C182" s="28"/>
      <c r="D182" s="7"/>
      <c r="E182" s="28"/>
      <c r="F182" s="7"/>
      <c r="G182" s="7"/>
      <c r="H182" s="7"/>
      <c r="I182" s="7"/>
      <c r="J182" s="7"/>
      <c r="K182" s="7"/>
      <c r="L182" s="7"/>
      <c r="M182" s="7"/>
      <c r="N182" s="7"/>
      <c r="O182" s="7"/>
      <c r="P182" s="7"/>
      <c r="Q182" s="7"/>
      <c r="R182" s="7"/>
      <c r="S182" s="7"/>
      <c r="T182" s="7"/>
      <c r="U182" s="7"/>
      <c r="V182" s="7"/>
      <c r="W182" s="7"/>
      <c r="X182" s="7"/>
      <c r="Y182" s="7"/>
      <c r="Z182" s="7"/>
      <c r="AA182" s="7"/>
      <c r="AB182" s="7"/>
      <c r="AC182" s="7"/>
    </row>
    <row r="183" spans="1:29" ht="20.100000000000001" customHeight="1" thickBot="1" x14ac:dyDescent="0.3">
      <c r="B183" s="62" t="s">
        <v>199</v>
      </c>
      <c r="C183" s="53" t="s">
        <v>124</v>
      </c>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row>
    <row r="184" spans="1:29" ht="5.0999999999999996" customHeight="1" x14ac:dyDescent="0.25">
      <c r="A184" s="28"/>
      <c r="B184" s="28"/>
      <c r="C184" s="28"/>
      <c r="D184" s="7"/>
      <c r="E184" s="28"/>
      <c r="F184" s="7"/>
      <c r="G184" s="7"/>
      <c r="H184" s="7"/>
      <c r="I184" s="7"/>
      <c r="J184" s="7"/>
      <c r="K184" s="7"/>
      <c r="L184" s="7"/>
      <c r="M184" s="7"/>
      <c r="N184" s="7"/>
      <c r="O184" s="7"/>
      <c r="P184" s="7"/>
      <c r="Q184" s="7"/>
      <c r="R184" s="7"/>
      <c r="S184" s="7"/>
      <c r="T184" s="7"/>
      <c r="U184" s="7"/>
      <c r="V184" s="7"/>
      <c r="W184" s="7"/>
      <c r="X184" s="7"/>
      <c r="Y184" s="7"/>
      <c r="Z184" s="7"/>
      <c r="AA184" s="7"/>
      <c r="AB184" s="7"/>
      <c r="AC184" s="7"/>
    </row>
    <row r="185" spans="1:29" ht="20.100000000000001" customHeight="1" thickBot="1" x14ac:dyDescent="0.3">
      <c r="B185" s="62" t="s">
        <v>199</v>
      </c>
      <c r="C185" s="53" t="s">
        <v>125</v>
      </c>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row>
    <row r="186" spans="1:29" ht="20.100000000000001" customHeight="1" x14ac:dyDescent="0.25">
      <c r="B186" s="31"/>
      <c r="C186" s="53"/>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row>
    <row r="187" spans="1:29" ht="20.100000000000001" customHeight="1" thickBot="1" x14ac:dyDescent="0.3">
      <c r="A187" s="54"/>
      <c r="B187" s="55"/>
      <c r="C187" s="55"/>
      <c r="D187" s="55"/>
      <c r="E187" s="55"/>
      <c r="F187" s="55"/>
      <c r="G187" s="55"/>
      <c r="H187" s="55"/>
      <c r="I187" s="55"/>
      <c r="J187" s="55"/>
      <c r="K187" s="55"/>
      <c r="L187" s="55"/>
      <c r="M187" s="55"/>
      <c r="N187" s="55"/>
      <c r="O187" s="55"/>
      <c r="P187" s="55"/>
      <c r="Q187" s="55"/>
      <c r="R187" s="55"/>
      <c r="S187" s="55"/>
      <c r="T187" s="55"/>
      <c r="U187" s="55"/>
      <c r="V187" s="55"/>
      <c r="W187" s="55"/>
      <c r="X187" s="55"/>
      <c r="Y187" s="55"/>
      <c r="Z187" s="55"/>
      <c r="AA187" s="55"/>
      <c r="AB187" s="55"/>
      <c r="AC187" s="55"/>
    </row>
    <row r="188" spans="1:29" ht="20.100000000000001" customHeight="1" thickTop="1"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row>
    <row r="189" spans="1:29" ht="20.100000000000001" customHeight="1" x14ac:dyDescent="0.25">
      <c r="A189" s="52" t="s">
        <v>46</v>
      </c>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row>
    <row r="190" spans="1:29" ht="20.100000000000001" customHeight="1" x14ac:dyDescent="0.25">
      <c r="A190" s="56" t="s">
        <v>47</v>
      </c>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row>
    <row r="191" spans="1:29" ht="20.100000000000001" customHeight="1" x14ac:dyDescent="0.25">
      <c r="A191" s="160"/>
      <c r="B191" s="161"/>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2"/>
    </row>
    <row r="192" spans="1:29" ht="20.100000000000001" customHeight="1" x14ac:dyDescent="0.25">
      <c r="A192" s="163"/>
      <c r="B192" s="164"/>
      <c r="C192" s="164"/>
      <c r="D192" s="164"/>
      <c r="E192" s="164"/>
      <c r="F192" s="164"/>
      <c r="G192" s="164"/>
      <c r="H192" s="164"/>
      <c r="I192" s="164"/>
      <c r="J192" s="164"/>
      <c r="K192" s="164"/>
      <c r="L192" s="164"/>
      <c r="M192" s="164"/>
      <c r="N192" s="164"/>
      <c r="O192" s="164"/>
      <c r="P192" s="164"/>
      <c r="Q192" s="164"/>
      <c r="R192" s="164"/>
      <c r="S192" s="164"/>
      <c r="T192" s="164"/>
      <c r="U192" s="164"/>
      <c r="V192" s="164"/>
      <c r="W192" s="164"/>
      <c r="X192" s="164"/>
      <c r="Y192" s="164"/>
      <c r="Z192" s="164"/>
      <c r="AA192" s="164"/>
      <c r="AB192" s="164"/>
      <c r="AC192" s="165"/>
    </row>
    <row r="193" spans="1:29" ht="20.100000000000001" customHeight="1" x14ac:dyDescent="0.25">
      <c r="A193" s="163"/>
      <c r="B193" s="164"/>
      <c r="C193" s="164"/>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5"/>
    </row>
    <row r="194" spans="1:29" ht="20.100000000000001" customHeight="1" x14ac:dyDescent="0.25">
      <c r="A194" s="163"/>
      <c r="B194" s="164"/>
      <c r="C194" s="164"/>
      <c r="D194" s="164"/>
      <c r="E194" s="164"/>
      <c r="F194" s="164"/>
      <c r="G194" s="164"/>
      <c r="H194" s="164"/>
      <c r="I194" s="164"/>
      <c r="J194" s="164"/>
      <c r="K194" s="164"/>
      <c r="L194" s="164"/>
      <c r="M194" s="164"/>
      <c r="N194" s="164"/>
      <c r="O194" s="164"/>
      <c r="P194" s="164"/>
      <c r="Q194" s="164"/>
      <c r="R194" s="164"/>
      <c r="S194" s="164"/>
      <c r="T194" s="164"/>
      <c r="U194" s="164"/>
      <c r="V194" s="164"/>
      <c r="W194" s="164"/>
      <c r="X194" s="164"/>
      <c r="Y194" s="164"/>
      <c r="Z194" s="164"/>
      <c r="AA194" s="164"/>
      <c r="AB194" s="164"/>
      <c r="AC194" s="165"/>
    </row>
    <row r="195" spans="1:29" ht="20.100000000000001" customHeight="1" x14ac:dyDescent="0.25">
      <c r="A195" s="163"/>
      <c r="B195" s="164"/>
      <c r="C195" s="164"/>
      <c r="D195" s="164"/>
      <c r="E195" s="164"/>
      <c r="F195" s="164"/>
      <c r="G195" s="164"/>
      <c r="H195" s="164"/>
      <c r="I195" s="164"/>
      <c r="J195" s="164"/>
      <c r="K195" s="164"/>
      <c r="L195" s="164"/>
      <c r="M195" s="164"/>
      <c r="N195" s="164"/>
      <c r="O195" s="164"/>
      <c r="P195" s="164"/>
      <c r="Q195" s="164"/>
      <c r="R195" s="164"/>
      <c r="S195" s="164"/>
      <c r="T195" s="164"/>
      <c r="U195" s="164"/>
      <c r="V195" s="164"/>
      <c r="W195" s="164"/>
      <c r="X195" s="164"/>
      <c r="Y195" s="164"/>
      <c r="Z195" s="164"/>
      <c r="AA195" s="164"/>
      <c r="AB195" s="164"/>
      <c r="AC195" s="165"/>
    </row>
    <row r="196" spans="1:29" ht="20.100000000000001" customHeight="1" x14ac:dyDescent="0.25">
      <c r="A196" s="163"/>
      <c r="B196" s="164"/>
      <c r="C196" s="164"/>
      <c r="D196" s="164"/>
      <c r="E196" s="164"/>
      <c r="F196" s="164"/>
      <c r="G196" s="164"/>
      <c r="H196" s="164"/>
      <c r="I196" s="164"/>
      <c r="J196" s="164"/>
      <c r="K196" s="164"/>
      <c r="L196" s="164"/>
      <c r="M196" s="164"/>
      <c r="N196" s="164"/>
      <c r="O196" s="164"/>
      <c r="P196" s="164"/>
      <c r="Q196" s="164"/>
      <c r="R196" s="164"/>
      <c r="S196" s="164"/>
      <c r="T196" s="164"/>
      <c r="U196" s="164"/>
      <c r="V196" s="164"/>
      <c r="W196" s="164"/>
      <c r="X196" s="164"/>
      <c r="Y196" s="164"/>
      <c r="Z196" s="164"/>
      <c r="AA196" s="164"/>
      <c r="AB196" s="164"/>
      <c r="AC196" s="165"/>
    </row>
    <row r="197" spans="1:29" ht="20.100000000000001" customHeight="1" x14ac:dyDescent="0.25">
      <c r="A197" s="163"/>
      <c r="B197" s="164"/>
      <c r="C197" s="164"/>
      <c r="D197" s="164"/>
      <c r="E197" s="164"/>
      <c r="F197" s="164"/>
      <c r="G197" s="164"/>
      <c r="H197" s="164"/>
      <c r="I197" s="164"/>
      <c r="J197" s="164"/>
      <c r="K197" s="164"/>
      <c r="L197" s="164"/>
      <c r="M197" s="164"/>
      <c r="N197" s="164"/>
      <c r="O197" s="164"/>
      <c r="P197" s="164"/>
      <c r="Q197" s="164"/>
      <c r="R197" s="164"/>
      <c r="S197" s="164"/>
      <c r="T197" s="164"/>
      <c r="U197" s="164"/>
      <c r="V197" s="164"/>
      <c r="W197" s="164"/>
      <c r="X197" s="164"/>
      <c r="Y197" s="164"/>
      <c r="Z197" s="164"/>
      <c r="AA197" s="164"/>
      <c r="AB197" s="164"/>
      <c r="AC197" s="165"/>
    </row>
    <row r="198" spans="1:29" ht="20.100000000000001" customHeight="1" x14ac:dyDescent="0.25">
      <c r="A198" s="163"/>
      <c r="B198" s="164"/>
      <c r="C198" s="164"/>
      <c r="D198" s="164"/>
      <c r="E198" s="164"/>
      <c r="F198" s="164"/>
      <c r="G198" s="164"/>
      <c r="H198" s="164"/>
      <c r="I198" s="164"/>
      <c r="J198" s="164"/>
      <c r="K198" s="164"/>
      <c r="L198" s="164"/>
      <c r="M198" s="164"/>
      <c r="N198" s="164"/>
      <c r="O198" s="164"/>
      <c r="P198" s="164"/>
      <c r="Q198" s="164"/>
      <c r="R198" s="164"/>
      <c r="S198" s="164"/>
      <c r="T198" s="164"/>
      <c r="U198" s="164"/>
      <c r="V198" s="164"/>
      <c r="W198" s="164"/>
      <c r="X198" s="164"/>
      <c r="Y198" s="164"/>
      <c r="Z198" s="164"/>
      <c r="AA198" s="164"/>
      <c r="AB198" s="164"/>
      <c r="AC198" s="165"/>
    </row>
    <row r="199" spans="1:29" ht="20.100000000000001" customHeight="1" x14ac:dyDescent="0.25">
      <c r="A199" s="163"/>
      <c r="B199" s="164"/>
      <c r="C199" s="164"/>
      <c r="D199" s="164"/>
      <c r="E199" s="164"/>
      <c r="F199" s="164"/>
      <c r="G199" s="164"/>
      <c r="H199" s="164"/>
      <c r="I199" s="164"/>
      <c r="J199" s="164"/>
      <c r="K199" s="164"/>
      <c r="L199" s="164"/>
      <c r="M199" s="164"/>
      <c r="N199" s="164"/>
      <c r="O199" s="164"/>
      <c r="P199" s="164"/>
      <c r="Q199" s="164"/>
      <c r="R199" s="164"/>
      <c r="S199" s="164"/>
      <c r="T199" s="164"/>
      <c r="U199" s="164"/>
      <c r="V199" s="164"/>
      <c r="W199" s="164"/>
      <c r="X199" s="164"/>
      <c r="Y199" s="164"/>
      <c r="Z199" s="164"/>
      <c r="AA199" s="164"/>
      <c r="AB199" s="164"/>
      <c r="AC199" s="165"/>
    </row>
    <row r="200" spans="1:29" ht="20.100000000000001" customHeight="1" x14ac:dyDescent="0.25">
      <c r="A200" s="163"/>
      <c r="B200" s="164"/>
      <c r="C200" s="164"/>
      <c r="D200" s="164"/>
      <c r="E200" s="164"/>
      <c r="F200" s="164"/>
      <c r="G200" s="164"/>
      <c r="H200" s="164"/>
      <c r="I200" s="164"/>
      <c r="J200" s="164"/>
      <c r="K200" s="164"/>
      <c r="L200" s="164"/>
      <c r="M200" s="164"/>
      <c r="N200" s="164"/>
      <c r="O200" s="164"/>
      <c r="P200" s="164"/>
      <c r="Q200" s="164"/>
      <c r="R200" s="164"/>
      <c r="S200" s="164"/>
      <c r="T200" s="164"/>
      <c r="U200" s="164"/>
      <c r="V200" s="164"/>
      <c r="W200" s="164"/>
      <c r="X200" s="164"/>
      <c r="Y200" s="164"/>
      <c r="Z200" s="164"/>
      <c r="AA200" s="164"/>
      <c r="AB200" s="164"/>
      <c r="AC200" s="165"/>
    </row>
    <row r="201" spans="1:29" ht="20.100000000000001" customHeight="1" x14ac:dyDescent="0.25">
      <c r="A201" s="163"/>
      <c r="B201" s="164"/>
      <c r="C201" s="164"/>
      <c r="D201" s="164"/>
      <c r="E201" s="164"/>
      <c r="F201" s="164"/>
      <c r="G201" s="164"/>
      <c r="H201" s="164"/>
      <c r="I201" s="164"/>
      <c r="J201" s="164"/>
      <c r="K201" s="164"/>
      <c r="L201" s="164"/>
      <c r="M201" s="164"/>
      <c r="N201" s="164"/>
      <c r="O201" s="164"/>
      <c r="P201" s="164"/>
      <c r="Q201" s="164"/>
      <c r="R201" s="164"/>
      <c r="S201" s="164"/>
      <c r="T201" s="164"/>
      <c r="U201" s="164"/>
      <c r="V201" s="164"/>
      <c r="W201" s="164"/>
      <c r="X201" s="164"/>
      <c r="Y201" s="164"/>
      <c r="Z201" s="164"/>
      <c r="AA201" s="164"/>
      <c r="AB201" s="164"/>
      <c r="AC201" s="165"/>
    </row>
    <row r="202" spans="1:29" ht="20.100000000000001" customHeight="1" thickBot="1" x14ac:dyDescent="0.3">
      <c r="A202" s="166"/>
      <c r="B202" s="167"/>
      <c r="C202" s="167"/>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8"/>
    </row>
    <row r="203" spans="1:29" ht="20.100000000000001" customHeight="1"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row>
    <row r="204" spans="1:29" ht="20.100000000000001" customHeight="1"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row>
    <row r="205" spans="1:29" ht="20.100000000000001" customHeight="1"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row>
    <row r="206" spans="1:29" ht="20.100000000000001" customHeight="1"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row>
    <row r="207" spans="1:29" ht="20.100000000000001" customHeight="1"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row>
    <row r="208" spans="1:29" ht="20.100000000000001" customHeight="1"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row>
    <row r="209" spans="1:29" ht="20.100000000000001" customHeight="1"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row>
    <row r="210" spans="1:29" ht="20.100000000000001" customHeight="1"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row>
    <row r="211" spans="1:29" ht="20.100000000000001" customHeight="1"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row>
    <row r="212" spans="1:29" ht="20.100000000000001" customHeight="1"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row>
    <row r="213" spans="1:29" ht="20.100000000000001" customHeight="1"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row>
    <row r="214" spans="1:29" ht="20.100000000000001" customHeight="1"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row>
    <row r="215" spans="1:29" ht="20.100000000000001" customHeight="1"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row>
    <row r="216" spans="1:29" ht="20.100000000000001" customHeight="1"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row>
    <row r="217" spans="1:29" ht="20.100000000000001" customHeight="1"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row>
    <row r="218" spans="1:29" ht="20.100000000000001" customHeight="1"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row>
    <row r="219" spans="1:29" ht="20.100000000000001" customHeight="1"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row>
    <row r="220" spans="1:29" ht="20.100000000000001" customHeight="1"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row>
    <row r="221" spans="1:29" ht="20.100000000000001" customHeight="1"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row>
    <row r="222" spans="1:29" ht="20.100000000000001" customHeight="1"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row>
    <row r="223" spans="1:29" ht="20.100000000000001" customHeight="1"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row>
    <row r="224" spans="1:29" ht="20.100000000000001" customHeight="1"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row>
    <row r="225" spans="1:29" ht="20.100000000000001" customHeight="1"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row>
    <row r="226" spans="1:29" ht="20.100000000000001" customHeight="1"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row>
    <row r="227" spans="1:29" ht="20.100000000000001" customHeight="1"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row>
    <row r="228" spans="1:29" ht="20.100000000000001" customHeight="1"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row>
    <row r="229" spans="1:29" ht="20.100000000000001" customHeight="1"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row>
    <row r="230" spans="1:29" ht="20.100000000000001" customHeight="1"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row>
    <row r="231" spans="1:29" ht="20.100000000000001" customHeight="1"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row>
    <row r="232" spans="1:29" ht="20.100000000000001" customHeight="1"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row>
    <row r="233" spans="1:29" ht="20.100000000000001" customHeight="1"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row>
    <row r="234" spans="1:29" ht="20.100000000000001" customHeight="1"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row>
    <row r="235" spans="1:29" ht="20.100000000000001" customHeight="1"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row>
    <row r="236" spans="1:29" ht="20.100000000000001" customHeight="1"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row>
    <row r="237" spans="1:29" ht="20.100000000000001" customHeight="1"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row>
    <row r="238" spans="1:29" ht="20.100000000000001" customHeight="1"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row>
    <row r="239" spans="1:29" ht="20.100000000000001" customHeight="1"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row>
    <row r="240" spans="1:29" ht="20.100000000000001" customHeight="1"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row>
    <row r="241" spans="1:29" ht="20.100000000000001" customHeight="1"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row>
    <row r="242" spans="1:29" ht="20.100000000000001" customHeight="1"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row>
    <row r="243" spans="1:29" ht="20.100000000000001" customHeight="1"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row>
    <row r="244" spans="1:29" ht="20.100000000000001" customHeight="1"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row>
    <row r="245" spans="1:29" ht="20.100000000000001" customHeight="1"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row>
    <row r="246" spans="1:29" ht="20.100000000000001" customHeight="1"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row>
    <row r="247" spans="1:29" ht="20.100000000000001" customHeight="1"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row>
    <row r="248" spans="1:29" ht="20.100000000000001" customHeight="1"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row>
    <row r="249" spans="1:29" ht="20.100000000000001" customHeight="1"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row>
    <row r="250" spans="1:29" ht="20.100000000000001" customHeight="1"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row>
    <row r="251" spans="1:29" ht="20.100000000000001" customHeight="1"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row>
    <row r="252" spans="1:29" ht="20.100000000000001" customHeight="1"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row>
    <row r="253" spans="1:29" ht="20.100000000000001" customHeight="1"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row>
    <row r="254" spans="1:29" ht="20.100000000000001" customHeight="1"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row>
    <row r="255" spans="1:29" ht="20.100000000000001" customHeight="1"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row>
    <row r="256" spans="1:29" ht="20.100000000000001" customHeight="1"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row>
    <row r="257" spans="1:29" ht="20.100000000000001" customHeight="1"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row>
    <row r="258" spans="1:29" ht="20.100000000000001" customHeight="1"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row>
    <row r="259" spans="1:29" ht="20.100000000000001" customHeight="1"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row>
    <row r="260" spans="1:29" ht="20.100000000000001" customHeight="1"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row>
    <row r="261" spans="1:29" ht="20.100000000000001" customHeight="1"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row>
    <row r="262" spans="1:29" ht="20.100000000000001" customHeight="1"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row>
    <row r="263" spans="1:29" ht="20.100000000000001" customHeight="1"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row>
    <row r="264" spans="1:29" ht="20.100000000000001" customHeight="1"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row>
    <row r="265" spans="1:29" ht="20.100000000000001" customHeight="1"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row>
    <row r="266" spans="1:29" ht="20.100000000000001" customHeight="1"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row>
    <row r="267" spans="1:29" ht="20.100000000000001" customHeight="1"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row>
    <row r="268" spans="1:29" ht="20.100000000000001" customHeight="1"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row>
    <row r="269" spans="1:29" ht="20.100000000000001" customHeight="1"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row>
    <row r="270" spans="1:29" ht="20.100000000000001" customHeight="1"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row>
    <row r="271" spans="1:29" ht="20.100000000000001" customHeight="1"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row>
    <row r="272" spans="1:29" ht="20.100000000000001" customHeight="1"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row>
    <row r="273" spans="1:29" ht="20.100000000000001" customHeight="1"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row>
    <row r="274" spans="1:29" ht="20.100000000000001" customHeight="1"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row>
    <row r="275" spans="1:29" ht="20.100000000000001" customHeight="1"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row>
    <row r="276" spans="1:29" ht="20.100000000000001" customHeight="1"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row>
    <row r="277" spans="1:29" ht="20.100000000000001" customHeight="1"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row>
    <row r="278" spans="1:29" ht="20.100000000000001" customHeight="1"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row>
    <row r="279" spans="1:29" ht="20.100000000000001" customHeight="1"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row>
    <row r="280" spans="1:29" ht="20.100000000000001" customHeight="1"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row>
    <row r="281" spans="1:29" ht="20.100000000000001" customHeight="1"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c r="AC281" s="7"/>
    </row>
    <row r="282" spans="1:29" ht="20.100000000000001" customHeight="1"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c r="AC282" s="7"/>
    </row>
    <row r="283" spans="1:29" ht="20.100000000000001" customHeight="1"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c r="AC283" s="7"/>
    </row>
    <row r="284" spans="1:29" ht="20.100000000000001" customHeight="1"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c r="AC284" s="7"/>
    </row>
    <row r="285" spans="1:29" ht="20.100000000000001" customHeight="1"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c r="AC285" s="7"/>
    </row>
    <row r="286" spans="1:29" ht="20.100000000000001" customHeight="1"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c r="AC286" s="7"/>
    </row>
    <row r="287" spans="1:29" ht="20.100000000000001" customHeight="1"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c r="AC287" s="7"/>
    </row>
    <row r="288" spans="1:29" ht="20.100000000000001" customHeight="1"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c r="AC288" s="7"/>
    </row>
    <row r="289" spans="1:29" ht="20.100000000000001" customHeight="1"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c r="AC289" s="7"/>
    </row>
    <row r="290" spans="1:29" ht="20.100000000000001" customHeight="1"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c r="AC290" s="7"/>
    </row>
    <row r="291" spans="1:29" ht="20.100000000000001" customHeight="1"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c r="AC291" s="7"/>
    </row>
    <row r="292" spans="1:29" ht="20.100000000000001" customHeight="1"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c r="AC292" s="7"/>
    </row>
    <row r="293" spans="1:29" ht="20.100000000000001" customHeight="1"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row>
    <row r="294" spans="1:29" ht="20.100000000000001" customHeight="1"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c r="AC294" s="7"/>
    </row>
    <row r="295" spans="1:29" ht="20.100000000000001" customHeight="1"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c r="AC295" s="7"/>
    </row>
    <row r="296" spans="1:29" ht="20.100000000000001" customHeight="1"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c r="AC296" s="7"/>
    </row>
    <row r="297" spans="1:29" ht="20.100000000000001" customHeight="1"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c r="AC297" s="7"/>
    </row>
    <row r="298" spans="1:29" ht="20.100000000000001" customHeight="1"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c r="AC298" s="7"/>
    </row>
    <row r="299" spans="1:29" ht="20.100000000000001" customHeight="1"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c r="AC299" s="7"/>
    </row>
    <row r="300" spans="1:29" ht="20.100000000000001" customHeight="1"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c r="AC300" s="7"/>
    </row>
    <row r="301" spans="1:29" ht="20.100000000000001" customHeight="1"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c r="AC301" s="7"/>
    </row>
    <row r="302" spans="1:29" ht="20.100000000000001" customHeight="1"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c r="AC302" s="7"/>
    </row>
    <row r="303" spans="1:29" ht="20.100000000000001" customHeight="1"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c r="AC303" s="7"/>
    </row>
    <row r="304" spans="1:29" ht="20.100000000000001" customHeight="1"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c r="AC304" s="7"/>
    </row>
    <row r="305" spans="1:29" ht="20.100000000000001" customHeight="1"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c r="AC305" s="7"/>
    </row>
    <row r="306" spans="1:29" ht="20.100000000000001" customHeight="1"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c r="AC306" s="7"/>
    </row>
    <row r="307" spans="1:29" ht="20.100000000000001" customHeight="1"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c r="AC307" s="7"/>
    </row>
    <row r="308" spans="1:29" ht="20.100000000000001" customHeight="1"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c r="AC308" s="7"/>
    </row>
    <row r="309" spans="1:29" ht="20.100000000000001" customHeight="1"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c r="AC309" s="7"/>
    </row>
    <row r="310" spans="1:29" ht="20.100000000000001" customHeight="1"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c r="AC310" s="7"/>
    </row>
    <row r="311" spans="1:29" ht="20.100000000000001" customHeight="1"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c r="AC311" s="7"/>
    </row>
    <row r="312" spans="1:29" ht="20.100000000000001" customHeight="1"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c r="AC312" s="7"/>
    </row>
    <row r="313" spans="1:29" ht="20.100000000000001" customHeight="1"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c r="AC313" s="7"/>
    </row>
    <row r="314" spans="1:29" ht="20.100000000000001" customHeight="1"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c r="AC314" s="7"/>
    </row>
    <row r="315" spans="1:29" ht="20.100000000000001" customHeight="1"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c r="AC315" s="7"/>
    </row>
    <row r="316" spans="1:29" ht="20.100000000000001" customHeight="1"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c r="AC316" s="7"/>
    </row>
    <row r="317" spans="1:29" ht="20.100000000000001" customHeight="1"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c r="AC317" s="7"/>
    </row>
    <row r="318" spans="1:29" ht="20.100000000000001" customHeight="1"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c r="AC318" s="7"/>
    </row>
    <row r="319" spans="1:29" ht="20.100000000000001" customHeight="1"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c r="AC319" s="7"/>
    </row>
    <row r="320" spans="1:29" ht="20.100000000000001" customHeight="1"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c r="AC320" s="7"/>
    </row>
    <row r="321" spans="1:29" ht="20.100000000000001" customHeight="1"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c r="AC321" s="7"/>
    </row>
    <row r="322" spans="1:29" ht="20.100000000000001" customHeight="1"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c r="AC322" s="7"/>
    </row>
    <row r="323" spans="1:29" ht="20.100000000000001" customHeight="1"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c r="AC323" s="7"/>
    </row>
    <row r="324" spans="1:29" ht="20.100000000000001" customHeight="1"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c r="AC324" s="7"/>
    </row>
    <row r="325" spans="1:29" ht="20.100000000000001" customHeight="1"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c r="AC325" s="7"/>
    </row>
    <row r="326" spans="1:29" ht="20.100000000000001" customHeight="1"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c r="AC326" s="7"/>
    </row>
    <row r="327" spans="1:29" ht="20.100000000000001" customHeight="1"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c r="AC327" s="7"/>
    </row>
    <row r="328" spans="1:29" ht="20.100000000000001" customHeight="1"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row>
    <row r="329" spans="1:29" ht="20.100000000000001" customHeight="1"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c r="AC329" s="7"/>
    </row>
    <row r="330" spans="1:29" ht="20.100000000000001" customHeight="1"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c r="AC330" s="7"/>
    </row>
    <row r="331" spans="1:29" ht="20.100000000000001" customHeight="1"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c r="AC331" s="7"/>
    </row>
    <row r="332" spans="1:29" ht="20.100000000000001" customHeight="1"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c r="AC332" s="7"/>
    </row>
    <row r="333" spans="1:29" ht="20.100000000000001" customHeight="1"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c r="AC333" s="7"/>
    </row>
    <row r="334" spans="1:29" ht="20.100000000000001" customHeight="1"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c r="AC334" s="7"/>
    </row>
    <row r="335" spans="1:29" ht="20.100000000000001" customHeight="1"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c r="AC335" s="7"/>
    </row>
    <row r="336" spans="1:29" ht="20.100000000000001" customHeight="1"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c r="AC336" s="7"/>
    </row>
    <row r="337" spans="1:29" ht="20.100000000000001" customHeight="1"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c r="AC337" s="7"/>
    </row>
    <row r="338" spans="1:29" ht="20.100000000000001" customHeight="1"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c r="AC338" s="7"/>
    </row>
    <row r="339" spans="1:29" ht="20.100000000000001" customHeight="1"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c r="AC339" s="7"/>
    </row>
    <row r="340" spans="1:29" ht="20.100000000000001" customHeight="1"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c r="AC340" s="7"/>
    </row>
    <row r="341" spans="1:29" ht="20.100000000000001" customHeight="1"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c r="AC341" s="7"/>
    </row>
    <row r="342" spans="1:29" ht="20.100000000000001" customHeight="1"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c r="AC342" s="7"/>
    </row>
    <row r="343" spans="1:29" ht="20.100000000000001" customHeight="1"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c r="AC343" s="7"/>
    </row>
    <row r="344" spans="1:29" ht="20.100000000000001" customHeight="1"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row>
    <row r="345" spans="1:29" ht="20.100000000000001" customHeight="1"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c r="AC345" s="7"/>
    </row>
    <row r="346" spans="1:29" ht="20.100000000000001" customHeight="1"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c r="AC346" s="7"/>
    </row>
    <row r="347" spans="1:29" ht="20.100000000000001" customHeight="1"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c r="AC347" s="7"/>
    </row>
    <row r="348" spans="1:29" ht="20.100000000000001" customHeight="1"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c r="AC348" s="7"/>
    </row>
    <row r="349" spans="1:29" ht="20.100000000000001" customHeight="1"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c r="AC349" s="7"/>
    </row>
    <row r="350" spans="1:29" ht="20.100000000000001" customHeight="1"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c r="AC350" s="7"/>
    </row>
    <row r="351" spans="1:29" ht="20.100000000000001" customHeight="1"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c r="AC351" s="7"/>
    </row>
    <row r="352" spans="1:29" ht="20.100000000000001" customHeight="1"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c r="AC352" s="7"/>
    </row>
    <row r="353" spans="1:29" ht="20.100000000000001" customHeight="1"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c r="AC353" s="7"/>
    </row>
    <row r="354" spans="1:29" ht="20.100000000000001" customHeight="1"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c r="AC354" s="7"/>
    </row>
    <row r="355" spans="1:29" ht="20.100000000000001" customHeight="1" x14ac:dyDescent="0.2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c r="AA355" s="7"/>
      <c r="AB355" s="7"/>
      <c r="AC355" s="7"/>
    </row>
    <row r="356" spans="1:29" ht="20.100000000000001" customHeight="1" x14ac:dyDescent="0.2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c r="AA356" s="7"/>
      <c r="AB356" s="7"/>
      <c r="AC356" s="7"/>
    </row>
    <row r="357" spans="1:29" ht="20.100000000000001" customHeight="1" x14ac:dyDescent="0.2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c r="AA357" s="7"/>
      <c r="AB357" s="7"/>
      <c r="AC357" s="7"/>
    </row>
    <row r="358" spans="1:29" ht="20.100000000000001" customHeight="1" x14ac:dyDescent="0.2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c r="AA358" s="7"/>
      <c r="AB358" s="7"/>
      <c r="AC358" s="7"/>
    </row>
    <row r="359" spans="1:29" ht="20.100000000000001" customHeight="1" x14ac:dyDescent="0.2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c r="AA359" s="7"/>
      <c r="AB359" s="7"/>
      <c r="AC359" s="7"/>
    </row>
    <row r="360" spans="1:29" ht="20.100000000000001" customHeight="1" x14ac:dyDescent="0.2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c r="AA360" s="7"/>
      <c r="AB360" s="7"/>
      <c r="AC360" s="7"/>
    </row>
    <row r="361" spans="1:29" ht="20.100000000000001" customHeight="1" x14ac:dyDescent="0.2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c r="AA361" s="7"/>
      <c r="AB361" s="7"/>
      <c r="AC361" s="7"/>
    </row>
    <row r="362" spans="1:29" ht="20.100000000000001" customHeight="1" x14ac:dyDescent="0.2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c r="AA362" s="7"/>
      <c r="AB362" s="7"/>
      <c r="AC362" s="7"/>
    </row>
    <row r="363" spans="1:29" ht="20.100000000000001" customHeight="1" x14ac:dyDescent="0.2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c r="AA363" s="7"/>
      <c r="AB363" s="7"/>
      <c r="AC363" s="7"/>
    </row>
    <row r="364" spans="1:29" ht="20.100000000000001" customHeight="1" x14ac:dyDescent="0.2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c r="AA364" s="7"/>
      <c r="AB364" s="7"/>
      <c r="AC364" s="7"/>
    </row>
    <row r="365" spans="1:29" ht="20.100000000000001" customHeight="1" x14ac:dyDescent="0.2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c r="AA365" s="7"/>
      <c r="AB365" s="7"/>
      <c r="AC365" s="7"/>
    </row>
    <row r="366" spans="1:29" ht="20.100000000000001" customHeight="1" x14ac:dyDescent="0.2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row>
    <row r="367" spans="1:29" ht="20.100000000000001" customHeight="1" x14ac:dyDescent="0.2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c r="AA367" s="7"/>
      <c r="AB367" s="7"/>
      <c r="AC367" s="7"/>
    </row>
    <row r="368" spans="1:29" ht="20.100000000000001" customHeight="1" x14ac:dyDescent="0.2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c r="AA368" s="7"/>
      <c r="AB368" s="7"/>
      <c r="AC368" s="7"/>
    </row>
    <row r="369" spans="1:29" ht="20.100000000000001" customHeight="1" x14ac:dyDescent="0.2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c r="AA369" s="7"/>
      <c r="AB369" s="7"/>
      <c r="AC369" s="7"/>
    </row>
    <row r="370" spans="1:29" ht="20.100000000000001" customHeight="1" x14ac:dyDescent="0.2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c r="AA370" s="7"/>
      <c r="AB370" s="7"/>
      <c r="AC370" s="7"/>
    </row>
    <row r="371" spans="1:29" ht="20.100000000000001" customHeight="1" x14ac:dyDescent="0.2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c r="AA371" s="7"/>
      <c r="AB371" s="7"/>
      <c r="AC371" s="7"/>
    </row>
    <row r="372" spans="1:29" ht="20.100000000000001" customHeight="1" x14ac:dyDescent="0.2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c r="AA372" s="7"/>
      <c r="AB372" s="7"/>
      <c r="AC372" s="7"/>
    </row>
    <row r="373" spans="1:29" ht="20.100000000000001" customHeight="1" x14ac:dyDescent="0.2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c r="AA373" s="7"/>
      <c r="AB373" s="7"/>
      <c r="AC373" s="7"/>
    </row>
    <row r="374" spans="1:29" ht="20.100000000000001" customHeight="1" x14ac:dyDescent="0.2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c r="AA374" s="7"/>
      <c r="AB374" s="7"/>
      <c r="AC374" s="7"/>
    </row>
    <row r="375" spans="1:29" ht="20.100000000000001" customHeight="1" x14ac:dyDescent="0.2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c r="AA375" s="7"/>
      <c r="AB375" s="7"/>
      <c r="AC375" s="7"/>
    </row>
    <row r="376" spans="1:29" ht="20.100000000000001" customHeight="1" x14ac:dyDescent="0.2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c r="AA376" s="7"/>
      <c r="AB376" s="7"/>
      <c r="AC376" s="7"/>
    </row>
    <row r="377" spans="1:29" ht="20.100000000000001" customHeight="1" x14ac:dyDescent="0.2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row>
    <row r="378" spans="1:29" ht="20.100000000000001" customHeight="1" x14ac:dyDescent="0.2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c r="AA378" s="7"/>
      <c r="AB378" s="7"/>
      <c r="AC378" s="7"/>
    </row>
    <row r="379" spans="1:29" ht="20.100000000000001" customHeight="1" x14ac:dyDescent="0.2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c r="AA379" s="7"/>
      <c r="AB379" s="7"/>
      <c r="AC379" s="7"/>
    </row>
    <row r="380" spans="1:29" ht="20.100000000000001" customHeight="1" x14ac:dyDescent="0.2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c r="AA380" s="7"/>
      <c r="AB380" s="7"/>
      <c r="AC380" s="7"/>
    </row>
    <row r="381" spans="1:29" ht="20.100000000000001" customHeight="1" x14ac:dyDescent="0.2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c r="AA381" s="7"/>
      <c r="AB381" s="7"/>
      <c r="AC381" s="7"/>
    </row>
    <row r="382" spans="1:29" ht="20.100000000000001" customHeight="1" x14ac:dyDescent="0.2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c r="AA382" s="7"/>
      <c r="AB382" s="7"/>
      <c r="AC382" s="7"/>
    </row>
    <row r="383" spans="1:29" ht="20.100000000000001" customHeight="1" x14ac:dyDescent="0.2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c r="AA383" s="7"/>
      <c r="AB383" s="7"/>
      <c r="AC383" s="7"/>
    </row>
    <row r="384" spans="1:29" ht="20.100000000000001" customHeight="1" x14ac:dyDescent="0.2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c r="AA384" s="7"/>
      <c r="AB384" s="7"/>
      <c r="AC384" s="7"/>
    </row>
    <row r="385" spans="1:29" ht="20.100000000000001" customHeight="1" x14ac:dyDescent="0.2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c r="AA385" s="7"/>
      <c r="AB385" s="7"/>
      <c r="AC385" s="7"/>
    </row>
    <row r="386" spans="1:29" ht="20.100000000000001" customHeight="1" x14ac:dyDescent="0.2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c r="AA386" s="7"/>
      <c r="AB386" s="7"/>
      <c r="AC386" s="7"/>
    </row>
    <row r="387" spans="1:29" ht="20.100000000000001" customHeight="1" x14ac:dyDescent="0.2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c r="AA387" s="7"/>
      <c r="AB387" s="7"/>
      <c r="AC387" s="7"/>
    </row>
    <row r="388" spans="1:29" ht="20.100000000000001" customHeight="1" x14ac:dyDescent="0.2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c r="AA388" s="7"/>
      <c r="AB388" s="7"/>
      <c r="AC388" s="7"/>
    </row>
    <row r="389" spans="1:29" ht="20.100000000000001" customHeight="1" x14ac:dyDescent="0.2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c r="AA389" s="7"/>
      <c r="AB389" s="7"/>
      <c r="AC389" s="7"/>
    </row>
    <row r="390" spans="1:29" ht="20.100000000000001" customHeight="1" x14ac:dyDescent="0.2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c r="AA390" s="7"/>
      <c r="AB390" s="7"/>
      <c r="AC390" s="7"/>
    </row>
    <row r="391" spans="1:29" ht="20.100000000000001" customHeight="1" x14ac:dyDescent="0.2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c r="AA391" s="7"/>
      <c r="AB391" s="7"/>
      <c r="AC391" s="7"/>
    </row>
    <row r="392" spans="1:29" ht="20.100000000000001" customHeight="1" x14ac:dyDescent="0.2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c r="AA392" s="7"/>
      <c r="AB392" s="7"/>
      <c r="AC392" s="7"/>
    </row>
    <row r="393" spans="1:29" ht="20.100000000000001" customHeight="1" x14ac:dyDescent="0.2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c r="AA393" s="7"/>
      <c r="AB393" s="7"/>
      <c r="AC393" s="7"/>
    </row>
    <row r="394" spans="1:29" ht="20.100000000000001" customHeight="1" x14ac:dyDescent="0.2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c r="AA394" s="7"/>
      <c r="AB394" s="7"/>
      <c r="AC394" s="7"/>
    </row>
    <row r="395" spans="1:29" ht="20.100000000000001" customHeight="1" x14ac:dyDescent="0.2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c r="AA395" s="7"/>
      <c r="AB395" s="7"/>
      <c r="AC395" s="7"/>
    </row>
    <row r="396" spans="1:29" ht="20.100000000000001" customHeight="1" x14ac:dyDescent="0.2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c r="AA396" s="7"/>
      <c r="AB396" s="7"/>
      <c r="AC396" s="7"/>
    </row>
    <row r="397" spans="1:29" ht="20.100000000000001" customHeight="1" x14ac:dyDescent="0.2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c r="AA397" s="7"/>
      <c r="AB397" s="7"/>
      <c r="AC397" s="7"/>
    </row>
    <row r="398" spans="1:29" ht="20.100000000000001" customHeight="1" x14ac:dyDescent="0.2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c r="AA398" s="7"/>
      <c r="AB398" s="7"/>
      <c r="AC398" s="7"/>
    </row>
    <row r="399" spans="1:29" ht="20.100000000000001" customHeight="1" x14ac:dyDescent="0.2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c r="AA399" s="7"/>
      <c r="AB399" s="7"/>
      <c r="AC399" s="7"/>
    </row>
    <row r="400" spans="1:29" ht="20.100000000000001" customHeight="1" x14ac:dyDescent="0.2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c r="AA400" s="7"/>
      <c r="AB400" s="7"/>
      <c r="AC400" s="7"/>
    </row>
    <row r="401" spans="1:29" ht="20.100000000000001" customHeight="1" x14ac:dyDescent="0.2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c r="AA401" s="7"/>
      <c r="AB401" s="7"/>
      <c r="AC401" s="7"/>
    </row>
    <row r="402" spans="1:29" ht="20.100000000000001" customHeight="1" x14ac:dyDescent="0.2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c r="AA402" s="7"/>
      <c r="AB402" s="7"/>
      <c r="AC402" s="7"/>
    </row>
    <row r="403" spans="1:29" ht="20.100000000000001" customHeight="1" x14ac:dyDescent="0.2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c r="AA403" s="7"/>
      <c r="AB403" s="7"/>
      <c r="AC403" s="7"/>
    </row>
    <row r="404" spans="1:29" ht="20.100000000000001" customHeight="1" x14ac:dyDescent="0.2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c r="AA404" s="7"/>
      <c r="AB404" s="7"/>
      <c r="AC404" s="7"/>
    </row>
    <row r="405" spans="1:29" ht="20.100000000000001" customHeight="1" x14ac:dyDescent="0.2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c r="AA405" s="7"/>
      <c r="AB405" s="7"/>
      <c r="AC405" s="7"/>
    </row>
    <row r="406" spans="1:29" ht="20.100000000000001" customHeight="1" x14ac:dyDescent="0.2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c r="AA406" s="7"/>
      <c r="AB406" s="7"/>
      <c r="AC406" s="7"/>
    </row>
    <row r="407" spans="1:29" ht="20.100000000000001" customHeight="1" x14ac:dyDescent="0.2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row>
    <row r="408" spans="1:29" ht="20.100000000000001" customHeight="1" x14ac:dyDescent="0.2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c r="AA408" s="7"/>
      <c r="AB408" s="7"/>
      <c r="AC408" s="7"/>
    </row>
    <row r="409" spans="1:29" ht="20.100000000000001" customHeight="1" x14ac:dyDescent="0.2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c r="AA409" s="7"/>
      <c r="AB409" s="7"/>
      <c r="AC409" s="7"/>
    </row>
    <row r="410" spans="1:29" ht="20.100000000000001" customHeight="1" x14ac:dyDescent="0.2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c r="AA410" s="7"/>
      <c r="AB410" s="7"/>
      <c r="AC410" s="7"/>
    </row>
    <row r="411" spans="1:29" ht="20.100000000000001" customHeight="1" x14ac:dyDescent="0.2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c r="AA411" s="7"/>
      <c r="AB411" s="7"/>
      <c r="AC411" s="7"/>
    </row>
    <row r="412" spans="1:29" ht="20.100000000000001" customHeight="1" x14ac:dyDescent="0.2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c r="AA412" s="7"/>
      <c r="AB412" s="7"/>
      <c r="AC412" s="7"/>
    </row>
    <row r="413" spans="1:29" ht="20.100000000000001" customHeight="1" x14ac:dyDescent="0.2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c r="AA413" s="7"/>
      <c r="AB413" s="7"/>
      <c r="AC413" s="7"/>
    </row>
    <row r="414" spans="1:29" ht="20.100000000000001" customHeight="1" x14ac:dyDescent="0.2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c r="AA414" s="7"/>
      <c r="AB414" s="7"/>
      <c r="AC414" s="7"/>
    </row>
    <row r="415" spans="1:29" ht="20.100000000000001" customHeight="1" x14ac:dyDescent="0.2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row>
    <row r="416" spans="1:29" ht="20.100000000000001" customHeight="1" x14ac:dyDescent="0.2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row>
    <row r="417" spans="1:29" ht="20.100000000000001" customHeight="1" x14ac:dyDescent="0.2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c r="AA417" s="7"/>
      <c r="AB417" s="7"/>
      <c r="AC417" s="7"/>
    </row>
    <row r="418" spans="1:29" ht="20.100000000000001" customHeight="1" x14ac:dyDescent="0.2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row>
    <row r="419" spans="1:29" ht="20.100000000000001" customHeight="1" x14ac:dyDescent="0.2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c r="AA419" s="7"/>
      <c r="AB419" s="7"/>
      <c r="AC419" s="7"/>
    </row>
    <row r="420" spans="1:29" ht="20.100000000000001" customHeight="1" x14ac:dyDescent="0.2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row>
    <row r="421" spans="1:29" ht="20.100000000000001" customHeight="1" x14ac:dyDescent="0.2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c r="AA421" s="7"/>
      <c r="AB421" s="7"/>
      <c r="AC421" s="7"/>
    </row>
    <row r="422" spans="1:29" ht="20.100000000000001" customHeight="1" x14ac:dyDescent="0.2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c r="AA422" s="7"/>
      <c r="AB422" s="7"/>
      <c r="AC422" s="7"/>
    </row>
    <row r="423" spans="1:29" ht="20.100000000000001" customHeight="1" x14ac:dyDescent="0.2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c r="AA423" s="7"/>
      <c r="AB423" s="7"/>
      <c r="AC423" s="7"/>
    </row>
    <row r="424" spans="1:29" ht="20.100000000000001" customHeight="1" x14ac:dyDescent="0.2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row>
    <row r="425" spans="1:29" ht="20.100000000000001" customHeight="1" x14ac:dyDescent="0.2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row>
    <row r="426" spans="1:29" ht="20.100000000000001" customHeight="1" x14ac:dyDescent="0.2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row>
    <row r="427" spans="1:29" ht="20.100000000000001" customHeight="1" x14ac:dyDescent="0.2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c r="AA427" s="7"/>
      <c r="AB427" s="7"/>
      <c r="AC427" s="7"/>
    </row>
    <row r="428" spans="1:29" ht="20.100000000000001" customHeight="1" x14ac:dyDescent="0.2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row>
    <row r="429" spans="1:29" ht="20.100000000000001" customHeight="1" x14ac:dyDescent="0.2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c r="AA429" s="7"/>
      <c r="AB429" s="7"/>
      <c r="AC429" s="7"/>
    </row>
    <row r="430" spans="1:29" ht="20.100000000000001" customHeight="1" x14ac:dyDescent="0.2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row>
    <row r="431" spans="1:29" ht="20.100000000000001" customHeight="1" x14ac:dyDescent="0.2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c r="AA431" s="7"/>
      <c r="AB431" s="7"/>
      <c r="AC431" s="7"/>
    </row>
    <row r="432" spans="1:29" ht="20.100000000000001" customHeight="1" x14ac:dyDescent="0.2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c r="AA432" s="7"/>
      <c r="AB432" s="7"/>
      <c r="AC432" s="7"/>
    </row>
    <row r="433" spans="1:29" ht="20.100000000000001" customHeight="1" x14ac:dyDescent="0.2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c r="AA433" s="7"/>
      <c r="AB433" s="7"/>
      <c r="AC433" s="7"/>
    </row>
    <row r="434" spans="1:29" ht="20.100000000000001" customHeight="1" x14ac:dyDescent="0.2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c r="AA434" s="7"/>
      <c r="AB434" s="7"/>
      <c r="AC434" s="7"/>
    </row>
    <row r="435" spans="1:29" ht="20.100000000000001" customHeight="1" x14ac:dyDescent="0.2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c r="AA435" s="7"/>
      <c r="AB435" s="7"/>
      <c r="AC435" s="7"/>
    </row>
    <row r="436" spans="1:29" ht="20.100000000000001" customHeight="1" x14ac:dyDescent="0.2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c r="AA436" s="7"/>
      <c r="AB436" s="7"/>
      <c r="AC436" s="7"/>
    </row>
    <row r="437" spans="1:29" ht="20.100000000000001" customHeight="1" x14ac:dyDescent="0.2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c r="AA437" s="7"/>
      <c r="AB437" s="7"/>
      <c r="AC437" s="7"/>
    </row>
    <row r="438" spans="1:29" ht="20.100000000000001" customHeight="1" x14ac:dyDescent="0.2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row>
    <row r="439" spans="1:29" ht="20.100000000000001" customHeight="1" x14ac:dyDescent="0.2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row>
    <row r="440" spans="1:29" ht="20.100000000000001" customHeight="1" x14ac:dyDescent="0.2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c r="AA440" s="7"/>
      <c r="AB440" s="7"/>
      <c r="AC440" s="7"/>
    </row>
    <row r="441" spans="1:29" ht="20.100000000000001" customHeight="1" x14ac:dyDescent="0.2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row>
    <row r="442" spans="1:29" ht="20.100000000000001" customHeight="1" x14ac:dyDescent="0.2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c r="AA442" s="7"/>
      <c r="AB442" s="7"/>
      <c r="AC442" s="7"/>
    </row>
    <row r="443" spans="1:29" ht="20.100000000000001" customHeight="1" x14ac:dyDescent="0.2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c r="AA443" s="7"/>
      <c r="AB443" s="7"/>
      <c r="AC443" s="7"/>
    </row>
    <row r="444" spans="1:29" ht="20.100000000000001" customHeight="1" x14ac:dyDescent="0.2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c r="AA444" s="7"/>
      <c r="AB444" s="7"/>
      <c r="AC444" s="7"/>
    </row>
    <row r="445" spans="1:29" ht="20.100000000000001" customHeight="1" x14ac:dyDescent="0.2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c r="AA445" s="7"/>
      <c r="AB445" s="7"/>
      <c r="AC445" s="7"/>
    </row>
    <row r="446" spans="1:29" ht="20.100000000000001" customHeight="1" x14ac:dyDescent="0.2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c r="AA446" s="7"/>
      <c r="AB446" s="7"/>
      <c r="AC446" s="7"/>
    </row>
    <row r="447" spans="1:29" ht="20.100000000000001" customHeight="1" x14ac:dyDescent="0.2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c r="AA447" s="7"/>
      <c r="AB447" s="7"/>
      <c r="AC447" s="7"/>
    </row>
    <row r="448" spans="1:29" ht="20.100000000000001" customHeight="1" x14ac:dyDescent="0.2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c r="AA448" s="7"/>
      <c r="AB448" s="7"/>
      <c r="AC448" s="7"/>
    </row>
    <row r="449" spans="1:29" ht="20.100000000000001" customHeight="1" x14ac:dyDescent="0.2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c r="AA449" s="7"/>
      <c r="AB449" s="7"/>
      <c r="AC449" s="7"/>
    </row>
    <row r="450" spans="1:29" ht="20.100000000000001" customHeight="1" x14ac:dyDescent="0.2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c r="AA450" s="7"/>
      <c r="AB450" s="7"/>
      <c r="AC450" s="7"/>
    </row>
    <row r="451" spans="1:29" ht="20.100000000000001" customHeight="1" x14ac:dyDescent="0.2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c r="AA451" s="7"/>
      <c r="AB451" s="7"/>
      <c r="AC451" s="7"/>
    </row>
    <row r="452" spans="1:29" ht="20.100000000000001" customHeight="1" x14ac:dyDescent="0.2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c r="AA452" s="7"/>
      <c r="AB452" s="7"/>
      <c r="AC452" s="7"/>
    </row>
    <row r="453" spans="1:29" ht="20.100000000000001" customHeight="1" x14ac:dyDescent="0.2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c r="AA453" s="7"/>
      <c r="AB453" s="7"/>
      <c r="AC453" s="7"/>
    </row>
    <row r="454" spans="1:29" ht="20.100000000000001" customHeight="1" x14ac:dyDescent="0.2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c r="AA454" s="7"/>
      <c r="AB454" s="7"/>
      <c r="AC454" s="7"/>
    </row>
    <row r="455" spans="1:29" ht="20.100000000000001" customHeight="1" x14ac:dyDescent="0.2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c r="AA455" s="7"/>
      <c r="AB455" s="7"/>
      <c r="AC455" s="7"/>
    </row>
    <row r="456" spans="1:29" ht="20.100000000000001" customHeight="1" x14ac:dyDescent="0.2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c r="AA456" s="7"/>
      <c r="AB456" s="7"/>
      <c r="AC456" s="7"/>
    </row>
    <row r="457" spans="1:29" ht="20.100000000000001" customHeight="1" x14ac:dyDescent="0.2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c r="AA457" s="7"/>
      <c r="AB457" s="7"/>
      <c r="AC457" s="7"/>
    </row>
    <row r="458" spans="1:29" ht="20.100000000000001" customHeight="1" x14ac:dyDescent="0.2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c r="AA458" s="7"/>
      <c r="AB458" s="7"/>
      <c r="AC458" s="7"/>
    </row>
    <row r="459" spans="1:29" ht="20.100000000000001" customHeight="1" x14ac:dyDescent="0.2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c r="AA459" s="7"/>
      <c r="AB459" s="7"/>
      <c r="AC459" s="7"/>
    </row>
    <row r="460" spans="1:29" ht="20.100000000000001" customHeight="1" x14ac:dyDescent="0.25"/>
    <row r="461" spans="1:29" ht="20.100000000000001" customHeight="1" x14ac:dyDescent="0.25"/>
    <row r="462" spans="1:29" ht="20.100000000000001" customHeight="1" x14ac:dyDescent="0.25"/>
    <row r="463" spans="1:29" ht="20.100000000000001" customHeight="1" x14ac:dyDescent="0.25"/>
    <row r="464" spans="1:29"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row r="750" ht="20.100000000000001" customHeight="1" x14ac:dyDescent="0.25"/>
    <row r="751" ht="20.100000000000001" customHeight="1" x14ac:dyDescent="0.25"/>
    <row r="752" ht="20.100000000000001" customHeight="1" x14ac:dyDescent="0.25"/>
    <row r="753" ht="20.100000000000001" customHeight="1" x14ac:dyDescent="0.25"/>
    <row r="754" ht="20.100000000000001" customHeight="1" x14ac:dyDescent="0.25"/>
    <row r="755" ht="20.100000000000001" customHeight="1" x14ac:dyDescent="0.25"/>
    <row r="756" ht="20.100000000000001" customHeight="1" x14ac:dyDescent="0.25"/>
    <row r="757" ht="20.100000000000001" customHeight="1" x14ac:dyDescent="0.25"/>
    <row r="758" ht="20.100000000000001" customHeight="1" x14ac:dyDescent="0.25"/>
    <row r="759" ht="20.100000000000001" customHeight="1" x14ac:dyDescent="0.25"/>
    <row r="760" ht="20.100000000000001" customHeight="1" x14ac:dyDescent="0.25"/>
    <row r="761" ht="20.100000000000001" customHeight="1" x14ac:dyDescent="0.25"/>
    <row r="762" ht="20.100000000000001" customHeight="1" x14ac:dyDescent="0.25"/>
    <row r="763" ht="20.100000000000001" customHeight="1" x14ac:dyDescent="0.25"/>
    <row r="764" ht="20.100000000000001" customHeight="1" x14ac:dyDescent="0.25"/>
    <row r="765" ht="20.100000000000001" customHeight="1" x14ac:dyDescent="0.25"/>
    <row r="766" ht="20.100000000000001" customHeight="1" x14ac:dyDescent="0.25"/>
    <row r="767" ht="20.100000000000001" customHeight="1" x14ac:dyDescent="0.25"/>
    <row r="768" ht="20.100000000000001" customHeight="1" x14ac:dyDescent="0.25"/>
    <row r="769" ht="20.100000000000001" customHeight="1" x14ac:dyDescent="0.25"/>
    <row r="770" ht="20.100000000000001" customHeight="1" x14ac:dyDescent="0.25"/>
    <row r="771" ht="20.100000000000001" customHeight="1" x14ac:dyDescent="0.25"/>
    <row r="772" ht="20.100000000000001" customHeight="1" x14ac:dyDescent="0.25"/>
    <row r="773" ht="20.100000000000001" customHeight="1" x14ac:dyDescent="0.25"/>
    <row r="774" ht="20.100000000000001" customHeight="1" x14ac:dyDescent="0.25"/>
    <row r="775" ht="20.100000000000001" customHeight="1" x14ac:dyDescent="0.25"/>
    <row r="776" ht="20.100000000000001" customHeight="1" x14ac:dyDescent="0.25"/>
    <row r="777" ht="20.100000000000001" customHeight="1" x14ac:dyDescent="0.25"/>
    <row r="778" ht="20.100000000000001" customHeight="1" x14ac:dyDescent="0.25"/>
    <row r="779" ht="20.100000000000001" customHeight="1" x14ac:dyDescent="0.25"/>
    <row r="780" ht="20.100000000000001" customHeight="1" x14ac:dyDescent="0.25"/>
    <row r="781" ht="20.100000000000001" customHeight="1" x14ac:dyDescent="0.25"/>
    <row r="782" ht="20.100000000000001" customHeight="1" x14ac:dyDescent="0.25"/>
    <row r="783" ht="20.100000000000001" customHeight="1" x14ac:dyDescent="0.25"/>
    <row r="784" ht="20.100000000000001" customHeight="1" x14ac:dyDescent="0.25"/>
    <row r="785" ht="20.100000000000001" customHeight="1" x14ac:dyDescent="0.25"/>
    <row r="786" ht="20.100000000000001" customHeight="1" x14ac:dyDescent="0.25"/>
    <row r="787" ht="20.100000000000001" customHeight="1" x14ac:dyDescent="0.25"/>
    <row r="788" ht="20.100000000000001" customHeight="1" x14ac:dyDescent="0.25"/>
    <row r="789" ht="20.100000000000001" customHeight="1" x14ac:dyDescent="0.25"/>
    <row r="790" ht="20.100000000000001" customHeight="1" x14ac:dyDescent="0.25"/>
    <row r="791" ht="20.100000000000001" customHeight="1" x14ac:dyDescent="0.25"/>
    <row r="792" ht="20.100000000000001" customHeight="1" x14ac:dyDescent="0.25"/>
    <row r="793" ht="20.100000000000001" customHeight="1" x14ac:dyDescent="0.25"/>
    <row r="794" ht="20.100000000000001" customHeight="1" x14ac:dyDescent="0.25"/>
    <row r="795" ht="20.100000000000001" customHeight="1" x14ac:dyDescent="0.25"/>
    <row r="796" ht="20.100000000000001" customHeight="1" x14ac:dyDescent="0.25"/>
    <row r="797" ht="20.100000000000001" customHeight="1" x14ac:dyDescent="0.25"/>
    <row r="798" ht="20.100000000000001" customHeight="1" x14ac:dyDescent="0.25"/>
    <row r="799" ht="20.100000000000001" customHeight="1" x14ac:dyDescent="0.25"/>
    <row r="800" ht="20.100000000000001" customHeight="1" x14ac:dyDescent="0.25"/>
    <row r="801" ht="20.100000000000001" customHeight="1" x14ac:dyDescent="0.25"/>
    <row r="802" ht="20.100000000000001" customHeight="1" x14ac:dyDescent="0.25"/>
    <row r="803" ht="20.100000000000001" customHeight="1" x14ac:dyDescent="0.25"/>
    <row r="804" ht="20.100000000000001" customHeight="1" x14ac:dyDescent="0.25"/>
    <row r="805" ht="20.100000000000001" customHeight="1" x14ac:dyDescent="0.25"/>
    <row r="806" ht="20.100000000000001" customHeight="1" x14ac:dyDescent="0.25"/>
    <row r="807" ht="20.100000000000001" customHeight="1" x14ac:dyDescent="0.25"/>
    <row r="808" ht="20.100000000000001" customHeight="1" x14ac:dyDescent="0.25"/>
    <row r="809" ht="20.100000000000001" customHeight="1" x14ac:dyDescent="0.25"/>
    <row r="810" ht="20.100000000000001" customHeight="1" x14ac:dyDescent="0.25"/>
    <row r="811" ht="20.100000000000001" customHeight="1" x14ac:dyDescent="0.25"/>
    <row r="812" ht="20.100000000000001" customHeight="1" x14ac:dyDescent="0.25"/>
    <row r="813" ht="20.100000000000001" customHeight="1" x14ac:dyDescent="0.25"/>
    <row r="814" ht="20.100000000000001" customHeight="1" x14ac:dyDescent="0.25"/>
    <row r="815" ht="20.100000000000001" customHeight="1" x14ac:dyDescent="0.25"/>
    <row r="816" ht="20.100000000000001" customHeight="1" x14ac:dyDescent="0.25"/>
    <row r="817" ht="20.100000000000001" customHeight="1" x14ac:dyDescent="0.25"/>
    <row r="818" ht="20.100000000000001" customHeight="1" x14ac:dyDescent="0.25"/>
    <row r="819" ht="20.100000000000001" customHeight="1" x14ac:dyDescent="0.25"/>
    <row r="820" ht="20.100000000000001" customHeight="1" x14ac:dyDescent="0.25"/>
    <row r="821" ht="20.100000000000001" customHeight="1" x14ac:dyDescent="0.25"/>
    <row r="822" ht="20.100000000000001" customHeight="1" x14ac:dyDescent="0.25"/>
    <row r="823" ht="20.100000000000001" customHeight="1" x14ac:dyDescent="0.25"/>
    <row r="824" ht="20.100000000000001" customHeight="1" x14ac:dyDescent="0.25"/>
    <row r="825" ht="20.100000000000001" customHeight="1" x14ac:dyDescent="0.25"/>
    <row r="826" ht="20.100000000000001" customHeight="1" x14ac:dyDescent="0.25"/>
    <row r="827" ht="20.100000000000001" customHeight="1" x14ac:dyDescent="0.25"/>
    <row r="828" ht="20.100000000000001" customHeight="1" x14ac:dyDescent="0.25"/>
    <row r="829" ht="20.100000000000001" customHeight="1" x14ac:dyDescent="0.25"/>
    <row r="830" ht="20.100000000000001" customHeight="1" x14ac:dyDescent="0.25"/>
    <row r="831" ht="20.100000000000001" customHeight="1" x14ac:dyDescent="0.25"/>
    <row r="832" ht="20.100000000000001" customHeight="1" x14ac:dyDescent="0.25"/>
    <row r="833" ht="20.100000000000001" customHeight="1" x14ac:dyDescent="0.25"/>
    <row r="834" ht="20.100000000000001" customHeight="1" x14ac:dyDescent="0.25"/>
    <row r="835" ht="20.100000000000001" customHeight="1" x14ac:dyDescent="0.25"/>
    <row r="836" ht="20.100000000000001" customHeight="1" x14ac:dyDescent="0.25"/>
    <row r="837" ht="20.100000000000001" customHeight="1" x14ac:dyDescent="0.25"/>
    <row r="838" ht="20.100000000000001" customHeight="1" x14ac:dyDescent="0.25"/>
    <row r="839" ht="20.100000000000001" customHeight="1" x14ac:dyDescent="0.25"/>
    <row r="840" ht="20.100000000000001" customHeight="1" x14ac:dyDescent="0.25"/>
    <row r="841" ht="20.100000000000001" customHeight="1" x14ac:dyDescent="0.25"/>
    <row r="842" ht="20.100000000000001" customHeight="1" x14ac:dyDescent="0.25"/>
    <row r="843" ht="20.100000000000001" customHeight="1" x14ac:dyDescent="0.25"/>
    <row r="844" ht="20.100000000000001" customHeight="1" x14ac:dyDescent="0.25"/>
    <row r="845" ht="20.100000000000001" customHeight="1" x14ac:dyDescent="0.25"/>
    <row r="846" ht="20.100000000000001" customHeight="1" x14ac:dyDescent="0.25"/>
    <row r="847" ht="20.100000000000001" customHeight="1" x14ac:dyDescent="0.25"/>
    <row r="848" ht="20.100000000000001" customHeight="1" x14ac:dyDescent="0.25"/>
    <row r="849" ht="20.100000000000001" customHeight="1" x14ac:dyDescent="0.25"/>
    <row r="850" ht="20.100000000000001" customHeight="1" x14ac:dyDescent="0.25"/>
    <row r="851" ht="20.100000000000001" customHeight="1" x14ac:dyDescent="0.25"/>
    <row r="852" ht="20.100000000000001" customHeight="1" x14ac:dyDescent="0.25"/>
    <row r="853" ht="20.100000000000001" customHeight="1" x14ac:dyDescent="0.25"/>
    <row r="854" ht="20.100000000000001" customHeight="1" x14ac:dyDescent="0.25"/>
    <row r="855" ht="20.100000000000001" customHeight="1" x14ac:dyDescent="0.25"/>
    <row r="856" ht="20.100000000000001" customHeight="1" x14ac:dyDescent="0.25"/>
    <row r="857" ht="20.100000000000001" customHeight="1" x14ac:dyDescent="0.25"/>
    <row r="858" ht="20.100000000000001" customHeight="1" x14ac:dyDescent="0.25"/>
    <row r="859" ht="20.100000000000001" customHeight="1" x14ac:dyDescent="0.25"/>
    <row r="860" ht="20.100000000000001" customHeight="1" x14ac:dyDescent="0.25"/>
    <row r="861" ht="20.100000000000001" customHeight="1" x14ac:dyDescent="0.25"/>
    <row r="862" ht="20.100000000000001" customHeight="1" x14ac:dyDescent="0.25"/>
    <row r="863" ht="20.100000000000001" customHeight="1" x14ac:dyDescent="0.25"/>
    <row r="864" ht="20.100000000000001" customHeight="1" x14ac:dyDescent="0.25"/>
    <row r="865" ht="20.100000000000001" customHeight="1" x14ac:dyDescent="0.25"/>
    <row r="866" ht="20.100000000000001" customHeight="1" x14ac:dyDescent="0.25"/>
    <row r="867" ht="20.100000000000001" customHeight="1" x14ac:dyDescent="0.25"/>
  </sheetData>
  <sheetProtection password="CC1D" sheet="1" objects="1" scenarios="1"/>
  <mergeCells count="42">
    <mergeCell ref="B53:AC53"/>
    <mergeCell ref="AI1:AY1"/>
    <mergeCell ref="AI2:AY2"/>
    <mergeCell ref="H6:AC6"/>
    <mergeCell ref="H27:AA27"/>
    <mergeCell ref="I29:T29"/>
    <mergeCell ref="F9:AC9"/>
    <mergeCell ref="F11:AC11"/>
    <mergeCell ref="F13:T13"/>
    <mergeCell ref="U13:V13"/>
    <mergeCell ref="W13:Y13"/>
    <mergeCell ref="A50:AC51"/>
    <mergeCell ref="AA13:AC13"/>
    <mergeCell ref="A32:G32"/>
    <mergeCell ref="F15:P15"/>
    <mergeCell ref="T15:AC15"/>
    <mergeCell ref="I33:T33"/>
    <mergeCell ref="H31:AA31"/>
    <mergeCell ref="F18:AC18"/>
    <mergeCell ref="F20:AC20"/>
    <mergeCell ref="F22:T22"/>
    <mergeCell ref="U22:V22"/>
    <mergeCell ref="W22:Y22"/>
    <mergeCell ref="AA22:AC22"/>
    <mergeCell ref="T24:AC24"/>
    <mergeCell ref="F24:P24"/>
    <mergeCell ref="B174:AC175"/>
    <mergeCell ref="A191:AC202"/>
    <mergeCell ref="A41:AC44"/>
    <mergeCell ref="L129:AC129"/>
    <mergeCell ref="F99:AC101"/>
    <mergeCell ref="D115:AC117"/>
    <mergeCell ref="C125:AC126"/>
    <mergeCell ref="A155:AC164"/>
    <mergeCell ref="H67:AC67"/>
    <mergeCell ref="P78:AC78"/>
    <mergeCell ref="P80:AC80"/>
    <mergeCell ref="D82:AC85"/>
    <mergeCell ref="W72:AB72"/>
    <mergeCell ref="B54:AC55"/>
    <mergeCell ref="H62:AC62"/>
    <mergeCell ref="W170:AC170"/>
  </mergeCells>
  <pageMargins left="0.25" right="0.25" top="0.5" bottom="0.5" header="0.3" footer="0.3"/>
  <pageSetup scale="94" fitToHeight="0" orientation="portrait" r:id="rId1"/>
  <headerFooter>
    <oddFooter>&amp;RPage &amp;P of &amp;N</oddFooter>
  </headerFooter>
  <rowBreaks count="4" manualBreakCount="4">
    <brk id="44" max="16383" man="1"/>
    <brk id="86" max="16383" man="1"/>
    <brk id="130" max="16383" man="1"/>
    <brk id="165"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W55"/>
  <sheetViews>
    <sheetView zoomScaleNormal="100" workbookViewId="0">
      <pane ySplit="6" topLeftCell="A7" activePane="bottomLeft" state="frozen"/>
      <selection pane="bottomLeft" activeCell="AR15" sqref="AR15"/>
    </sheetView>
  </sheetViews>
  <sheetFormatPr defaultRowHeight="15" x14ac:dyDescent="0.25"/>
  <cols>
    <col min="1" max="84" width="3.7109375" style="1" customWidth="1"/>
    <col min="85" max="16384" width="9.140625" style="1"/>
  </cols>
  <sheetData>
    <row r="1" spans="1:49" ht="20.100000000000001" customHeight="1" x14ac:dyDescent="0.35">
      <c r="AC1" s="74" t="s">
        <v>140</v>
      </c>
      <c r="AG1" s="138" t="s">
        <v>196</v>
      </c>
      <c r="AH1" s="138"/>
      <c r="AI1" s="138"/>
      <c r="AJ1" s="138"/>
      <c r="AK1" s="138"/>
      <c r="AL1" s="138"/>
      <c r="AM1" s="138"/>
      <c r="AN1" s="138"/>
      <c r="AO1" s="138"/>
      <c r="AP1" s="138"/>
      <c r="AQ1" s="138"/>
      <c r="AR1" s="138"/>
      <c r="AS1" s="138"/>
      <c r="AT1" s="138"/>
      <c r="AU1" s="138"/>
      <c r="AV1" s="138"/>
      <c r="AW1" s="138"/>
    </row>
    <row r="2" spans="1:49" ht="20.100000000000001" customHeight="1" x14ac:dyDescent="0.35">
      <c r="AG2" s="139" t="s">
        <v>193</v>
      </c>
      <c r="AH2" s="140"/>
      <c r="AI2" s="140"/>
      <c r="AJ2" s="140"/>
      <c r="AK2" s="140"/>
      <c r="AL2" s="140"/>
      <c r="AM2" s="140"/>
      <c r="AN2" s="140"/>
      <c r="AO2" s="140"/>
      <c r="AP2" s="140"/>
      <c r="AQ2" s="140"/>
      <c r="AR2" s="140"/>
      <c r="AS2" s="140"/>
      <c r="AT2" s="140"/>
      <c r="AU2" s="140"/>
      <c r="AV2" s="140"/>
      <c r="AW2" s="141"/>
    </row>
    <row r="3" spans="1:49" ht="20.100000000000001" customHeight="1" x14ac:dyDescent="0.25"/>
    <row r="4" spans="1:49" ht="20.100000000000001" customHeight="1" x14ac:dyDescent="0.25">
      <c r="Z4" s="3" t="s">
        <v>141</v>
      </c>
      <c r="AA4" s="69"/>
      <c r="AB4" s="70"/>
      <c r="AC4" s="71"/>
    </row>
    <row r="5" spans="1:49" ht="20.100000000000001" customHeight="1" x14ac:dyDescent="0.3">
      <c r="B5" s="76"/>
      <c r="C5" s="76"/>
      <c r="D5" s="76"/>
      <c r="E5" s="76"/>
      <c r="F5" s="76"/>
      <c r="G5" s="76"/>
      <c r="H5" s="76"/>
      <c r="I5" s="76"/>
      <c r="J5" s="76"/>
      <c r="K5" s="76"/>
      <c r="L5" s="76"/>
      <c r="M5" s="76"/>
      <c r="N5" s="76"/>
      <c r="O5" s="76"/>
      <c r="P5" s="76"/>
      <c r="Q5" s="76"/>
      <c r="R5" s="76"/>
      <c r="S5" s="76"/>
      <c r="T5" s="76"/>
      <c r="U5" s="76"/>
      <c r="V5" s="76"/>
      <c r="W5" s="76"/>
      <c r="X5" s="76"/>
      <c r="Y5" s="76"/>
      <c r="Z5" s="76"/>
      <c r="AA5" s="76"/>
      <c r="AB5" s="76"/>
      <c r="AC5" s="76"/>
      <c r="AD5" s="76"/>
    </row>
    <row r="6" spans="1:49" ht="20.100000000000001" customHeight="1" x14ac:dyDescent="0.3">
      <c r="A6" s="20" t="s">
        <v>0</v>
      </c>
      <c r="H6" s="172" t="str">
        <f>+'Request for Layout'!H6:AC6</f>
        <v>David Whitney Building</v>
      </c>
      <c r="I6" s="172"/>
      <c r="J6" s="172"/>
      <c r="K6" s="172"/>
      <c r="L6" s="172"/>
      <c r="M6" s="172"/>
      <c r="N6" s="172"/>
      <c r="O6" s="172"/>
      <c r="P6" s="172"/>
      <c r="Q6" s="172"/>
      <c r="R6" s="172"/>
      <c r="S6" s="172"/>
      <c r="T6" s="172"/>
      <c r="U6" s="172"/>
      <c r="V6" s="172"/>
      <c r="W6" s="172"/>
      <c r="X6" s="172"/>
      <c r="Y6" s="172"/>
      <c r="Z6" s="172"/>
      <c r="AA6" s="172"/>
      <c r="AB6" s="172"/>
      <c r="AC6" s="172"/>
      <c r="AD6" s="77"/>
    </row>
    <row r="8" spans="1:49" ht="20.100000000000001" customHeight="1" x14ac:dyDescent="0.3">
      <c r="A8" s="78" t="s">
        <v>22</v>
      </c>
      <c r="H8" s="203" t="str">
        <f>+'Request for Layout'!H27:AA27</f>
        <v>Dan Phillips</v>
      </c>
      <c r="I8" s="203"/>
      <c r="J8" s="203"/>
      <c r="K8" s="203"/>
      <c r="L8" s="203"/>
      <c r="M8" s="203"/>
      <c r="N8" s="203"/>
      <c r="O8" s="203"/>
      <c r="P8" s="203"/>
      <c r="Q8" s="203"/>
      <c r="R8" s="203"/>
      <c r="S8" s="203"/>
      <c r="T8" s="203"/>
      <c r="U8" s="203"/>
      <c r="V8" s="203"/>
      <c r="W8" s="203"/>
      <c r="X8" s="203"/>
      <c r="Y8" s="203"/>
      <c r="Z8" s="203"/>
      <c r="AA8" s="203"/>
      <c r="AB8" s="203"/>
      <c r="AC8" s="203"/>
      <c r="AD8" s="79"/>
    </row>
    <row r="9" spans="1:49" ht="7.5" customHeight="1" x14ac:dyDescent="0.25"/>
    <row r="10" spans="1:49" ht="20.100000000000001" customHeight="1" x14ac:dyDescent="0.3">
      <c r="A10" s="78" t="s">
        <v>1</v>
      </c>
      <c r="I10" s="203" t="str">
        <f>+'Request for Layout'!I29:T29</f>
        <v>734-223-9539</v>
      </c>
      <c r="J10" s="203"/>
      <c r="K10" s="203"/>
      <c r="L10" s="203"/>
      <c r="M10" s="203"/>
      <c r="N10" s="203"/>
      <c r="O10" s="203"/>
      <c r="P10" s="203"/>
      <c r="Q10" s="203"/>
      <c r="R10" s="203"/>
      <c r="S10" s="203"/>
      <c r="T10" s="203"/>
      <c r="U10" s="2"/>
      <c r="V10" s="2"/>
      <c r="W10" s="2"/>
      <c r="X10" s="2"/>
      <c r="Y10" s="2"/>
      <c r="Z10" s="3" t="s">
        <v>16</v>
      </c>
      <c r="AA10" s="191"/>
      <c r="AB10" s="191"/>
      <c r="AC10" s="192"/>
    </row>
    <row r="12" spans="1:49" ht="20.100000000000001" customHeight="1" x14ac:dyDescent="0.3">
      <c r="A12" s="78" t="s">
        <v>23</v>
      </c>
      <c r="H12" s="202" t="str">
        <f>+'Request for Layout'!H31:AA31</f>
        <v>TBD</v>
      </c>
      <c r="I12" s="202"/>
      <c r="J12" s="202"/>
      <c r="K12" s="202"/>
      <c r="L12" s="202"/>
      <c r="M12" s="202"/>
      <c r="N12" s="202"/>
      <c r="O12" s="202"/>
      <c r="P12" s="202"/>
      <c r="Q12" s="202"/>
      <c r="R12" s="202"/>
      <c r="S12" s="202"/>
      <c r="T12" s="202"/>
      <c r="U12" s="202"/>
      <c r="V12" s="202"/>
      <c r="W12" s="202"/>
      <c r="X12" s="202"/>
      <c r="Y12" s="202"/>
      <c r="Z12" s="202"/>
      <c r="AA12" s="202"/>
      <c r="AB12" s="202"/>
      <c r="AC12" s="202"/>
    </row>
    <row r="13" spans="1:49" ht="7.5" customHeight="1" x14ac:dyDescent="0.25"/>
    <row r="14" spans="1:49" ht="20.100000000000001" customHeight="1" x14ac:dyDescent="0.3">
      <c r="A14" s="14" t="s">
        <v>24</v>
      </c>
      <c r="I14" s="203" t="str">
        <f>+'Request for Layout'!I33:T33</f>
        <v xml:space="preserve"> </v>
      </c>
      <c r="J14" s="203"/>
      <c r="K14" s="203"/>
      <c r="L14" s="203"/>
      <c r="M14" s="203"/>
      <c r="N14" s="203"/>
      <c r="O14" s="203"/>
      <c r="P14" s="203"/>
      <c r="Q14" s="203"/>
      <c r="R14" s="203"/>
      <c r="S14" s="203"/>
      <c r="T14" s="203"/>
      <c r="U14" s="2"/>
      <c r="V14" s="2"/>
      <c r="W14" s="2"/>
      <c r="X14" s="2"/>
      <c r="Y14" s="2"/>
      <c r="Z14" s="3" t="s">
        <v>16</v>
      </c>
      <c r="AA14" s="191"/>
      <c r="AB14" s="191"/>
      <c r="AC14" s="192"/>
    </row>
    <row r="15" spans="1:49" ht="15" customHeight="1" x14ac:dyDescent="0.25"/>
    <row r="16" spans="1:49" ht="20.100000000000001" customHeight="1" x14ac:dyDescent="0.25">
      <c r="U16" s="2"/>
      <c r="V16" s="2"/>
      <c r="W16" s="2"/>
      <c r="X16" s="2"/>
      <c r="Y16" s="3" t="s">
        <v>25</v>
      </c>
      <c r="Z16" s="193" t="str">
        <f>IF(+Y37&gt;0,+Y37*AA10," ")</f>
        <v xml:space="preserve"> </v>
      </c>
      <c r="AA16" s="193"/>
      <c r="AB16" s="193"/>
      <c r="AC16" s="193"/>
      <c r="AG16" s="206"/>
      <c r="AH16" s="206"/>
      <c r="AI16" s="206"/>
      <c r="AJ16" s="206"/>
    </row>
    <row r="17" spans="2:40" ht="20.100000000000001" customHeight="1" x14ac:dyDescent="0.25">
      <c r="U17" s="2"/>
      <c r="V17" s="2"/>
      <c r="W17" s="2"/>
      <c r="X17" s="2"/>
      <c r="Y17" s="3" t="s">
        <v>26</v>
      </c>
      <c r="Z17" s="193" t="str">
        <f>IF(+Y37&gt;0,+Y37*AA14," ")</f>
        <v xml:space="preserve"> </v>
      </c>
      <c r="AA17" s="193"/>
      <c r="AB17" s="193"/>
      <c r="AC17" s="193"/>
    </row>
    <row r="18" spans="2:40" ht="20.100000000000001" customHeight="1" thickBot="1" x14ac:dyDescent="0.3">
      <c r="B18" s="62"/>
      <c r="C18" s="1" t="s">
        <v>9</v>
      </c>
    </row>
    <row r="19" spans="2:40" ht="7.5" customHeight="1" x14ac:dyDescent="0.25"/>
    <row r="20" spans="2:40" ht="20.100000000000001" customHeight="1" thickBot="1" x14ac:dyDescent="0.3">
      <c r="B20" s="62"/>
      <c r="C20" s="1" t="s">
        <v>10</v>
      </c>
    </row>
    <row r="21" spans="2:40" ht="7.5" customHeight="1" x14ac:dyDescent="0.25"/>
    <row r="22" spans="2:40" ht="20.100000000000001" customHeight="1" thickBot="1" x14ac:dyDescent="0.3">
      <c r="B22" s="62"/>
      <c r="C22" s="1" t="s">
        <v>11</v>
      </c>
    </row>
    <row r="23" spans="2:40" ht="7.5" customHeight="1" x14ac:dyDescent="0.25"/>
    <row r="24" spans="2:40" ht="20.100000000000001" customHeight="1" thickBot="1" x14ac:dyDescent="0.3">
      <c r="B24" s="62"/>
      <c r="C24" s="1" t="s">
        <v>12</v>
      </c>
    </row>
    <row r="25" spans="2:40" x14ac:dyDescent="0.25">
      <c r="B25" s="11"/>
    </row>
    <row r="26" spans="2:40" ht="20.100000000000001" customHeight="1" x14ac:dyDescent="0.25">
      <c r="L26" s="188" t="s">
        <v>151</v>
      </c>
      <c r="M26" s="188"/>
      <c r="N26" s="188"/>
      <c r="O26" s="188"/>
      <c r="Q26" s="188" t="s">
        <v>152</v>
      </c>
      <c r="R26" s="188"/>
      <c r="S26" s="188"/>
      <c r="T26" s="80"/>
      <c r="U26" s="80" t="s">
        <v>153</v>
      </c>
      <c r="V26" s="80"/>
      <c r="W26" s="80"/>
      <c r="X26" s="80"/>
      <c r="Y26" s="188" t="s">
        <v>154</v>
      </c>
      <c r="Z26" s="188"/>
      <c r="AA26" s="188"/>
      <c r="AB26" s="188"/>
    </row>
    <row r="27" spans="2:40" ht="20.100000000000001" customHeight="1" x14ac:dyDescent="0.25">
      <c r="D27" s="1" t="s">
        <v>2</v>
      </c>
      <c r="L27" s="184"/>
      <c r="M27" s="184"/>
      <c r="N27" s="184"/>
      <c r="O27" s="184"/>
      <c r="P27" s="81"/>
      <c r="Q27" s="201">
        <f>IF(+L27&gt;0,+L27*5,0)</f>
        <v>0</v>
      </c>
      <c r="R27" s="201"/>
      <c r="S27" s="201"/>
      <c r="T27" s="81"/>
      <c r="U27" s="210" t="str">
        <f>IF(+L27&gt;0,+AI27," ")</f>
        <v xml:space="preserve"> </v>
      </c>
      <c r="V27" s="210"/>
      <c r="W27" s="210"/>
      <c r="X27" s="82"/>
      <c r="Y27" s="194" t="str">
        <f>IF(+L27&gt;0,+Q27*$AI$27," ")</f>
        <v xml:space="preserve"> </v>
      </c>
      <c r="Z27" s="194"/>
      <c r="AA27" s="194"/>
      <c r="AB27" s="194"/>
      <c r="AI27" s="217">
        <v>2.8</v>
      </c>
      <c r="AJ27" s="218"/>
      <c r="AK27" s="219"/>
      <c r="AL27" s="1" t="s">
        <v>157</v>
      </c>
    </row>
    <row r="28" spans="2:40" ht="20.100000000000001" customHeight="1" x14ac:dyDescent="0.25">
      <c r="D28" s="1" t="s">
        <v>3</v>
      </c>
      <c r="L28" s="184"/>
      <c r="M28" s="184"/>
      <c r="N28" s="184"/>
      <c r="O28" s="184"/>
      <c r="P28" s="81"/>
      <c r="Q28" s="201">
        <f>IF(+L28&gt;0,+L28*10,0)</f>
        <v>0</v>
      </c>
      <c r="R28" s="201"/>
      <c r="S28" s="201"/>
      <c r="T28" s="81"/>
      <c r="U28" s="211" t="str">
        <f>IF(+L28&gt;0,+AI27," ")</f>
        <v xml:space="preserve"> </v>
      </c>
      <c r="V28" s="211"/>
      <c r="W28" s="211"/>
      <c r="X28" s="82"/>
      <c r="Y28" s="204" t="str">
        <f>IF(+L28&gt;0,+Q28*$AI$27," ")</f>
        <v xml:space="preserve"> </v>
      </c>
      <c r="Z28" s="204"/>
      <c r="AA28" s="204"/>
      <c r="AB28" s="204"/>
    </row>
    <row r="29" spans="2:40" ht="20.100000000000001" customHeight="1" x14ac:dyDescent="0.25">
      <c r="D29" s="1" t="s">
        <v>4</v>
      </c>
      <c r="L29" s="184"/>
      <c r="M29" s="184"/>
      <c r="N29" s="184"/>
      <c r="O29" s="184"/>
      <c r="P29" s="81"/>
      <c r="Q29" s="201">
        <f>IF(+L29&gt;0,+L29*20,0)</f>
        <v>0</v>
      </c>
      <c r="R29" s="201"/>
      <c r="S29" s="201"/>
      <c r="T29" s="81"/>
      <c r="U29" s="211" t="str">
        <f>IF(+L29&gt;0,+AI27," ")</f>
        <v xml:space="preserve"> </v>
      </c>
      <c r="V29" s="211"/>
      <c r="W29" s="211"/>
      <c r="X29" s="82"/>
      <c r="Y29" s="204" t="str">
        <f>IF(+L29&gt;0,+Q29*$AI$27," ")</f>
        <v xml:space="preserve"> </v>
      </c>
      <c r="Z29" s="204"/>
      <c r="AA29" s="204"/>
      <c r="AB29" s="204"/>
      <c r="AJ29" s="215"/>
      <c r="AK29" s="216"/>
      <c r="AL29" s="1" t="s">
        <v>150</v>
      </c>
    </row>
    <row r="30" spans="2:40" ht="20.100000000000001" customHeight="1" thickBot="1" x14ac:dyDescent="0.3">
      <c r="D30" s="1" t="s">
        <v>5</v>
      </c>
      <c r="L30" s="207"/>
      <c r="M30" s="207"/>
      <c r="N30" s="207"/>
      <c r="O30" s="207"/>
      <c r="P30" s="81"/>
      <c r="Q30" s="182">
        <f>IF(+L30&gt;0,+L30*40, )</f>
        <v>0</v>
      </c>
      <c r="R30" s="182"/>
      <c r="S30" s="182"/>
      <c r="T30" s="81"/>
      <c r="U30" s="212" t="str">
        <f>IF(+L30&gt;0,+AI27," ")</f>
        <v xml:space="preserve"> </v>
      </c>
      <c r="V30" s="212"/>
      <c r="W30" s="212"/>
      <c r="X30" s="82"/>
      <c r="Y30" s="205" t="str">
        <f>IF(+L30&gt;0,+Q30*$AI$27," ")</f>
        <v xml:space="preserve"> </v>
      </c>
      <c r="Z30" s="205"/>
      <c r="AA30" s="205"/>
      <c r="AB30" s="205"/>
    </row>
    <row r="31" spans="2:40" s="14" customFormat="1" ht="20.100000000000001" customHeight="1" thickBot="1" x14ac:dyDescent="0.3">
      <c r="F31" s="14" t="s">
        <v>7</v>
      </c>
      <c r="L31" s="186" t="str">
        <f>IF((+L27+L28+L29+L30)&gt;0,+L27+L28+L29+L30," ")</f>
        <v xml:space="preserve"> </v>
      </c>
      <c r="M31" s="186"/>
      <c r="N31" s="186"/>
      <c r="O31" s="186"/>
      <c r="P31" s="83"/>
      <c r="Q31" s="187">
        <f>IF((+L27+L28+L29+L30)&gt;0,+Q27+Q28+Q29+Q30,0)</f>
        <v>0</v>
      </c>
      <c r="R31" s="187"/>
      <c r="S31" s="187"/>
      <c r="T31" s="83"/>
      <c r="U31" s="213" t="str">
        <f>IF((+S27+S28+S29+S30)&gt;0,+U27+U28+U29+U30," ")</f>
        <v xml:space="preserve"> </v>
      </c>
      <c r="V31" s="213"/>
      <c r="W31" s="213"/>
      <c r="X31" s="84"/>
      <c r="Y31" s="200" t="str">
        <f>IF((+L27+L28+L29+L30)&gt;0,+Y27+Y28+Y29+Y30," ")</f>
        <v xml:space="preserve"> </v>
      </c>
      <c r="Z31" s="200"/>
      <c r="AA31" s="200"/>
      <c r="AB31" s="200"/>
      <c r="AJ31" s="208">
        <v>1</v>
      </c>
      <c r="AK31" s="209"/>
      <c r="AL31" s="1" t="s">
        <v>156</v>
      </c>
      <c r="AM31" s="1"/>
      <c r="AN31" s="1"/>
    </row>
    <row r="32" spans="2:40" ht="7.5" customHeight="1" thickTop="1" x14ac:dyDescent="0.25">
      <c r="U32" s="82"/>
      <c r="V32" s="82"/>
      <c r="W32" s="82"/>
    </row>
    <row r="33" spans="1:49" ht="20.100000000000001" customHeight="1" x14ac:dyDescent="0.25">
      <c r="K33" s="72"/>
      <c r="L33" s="72"/>
      <c r="M33" s="72"/>
      <c r="N33" s="72"/>
      <c r="O33" s="6" t="s">
        <v>155</v>
      </c>
      <c r="P33" s="85"/>
      <c r="Q33" s="183"/>
      <c r="R33" s="183"/>
      <c r="S33" s="183"/>
      <c r="T33" s="2" t="s">
        <v>6</v>
      </c>
      <c r="U33" s="214" t="str">
        <f>IF(+Q33&gt;0,+AJ31," ")</f>
        <v xml:space="preserve"> </v>
      </c>
      <c r="V33" s="214"/>
      <c r="W33" s="214"/>
      <c r="Y33" s="189" t="str">
        <f>IF(+Q33&gt;0,+U33*Q33," ")</f>
        <v xml:space="preserve"> </v>
      </c>
      <c r="Z33" s="189"/>
      <c r="AA33" s="189"/>
      <c r="AB33" s="189"/>
      <c r="AD33" s="179"/>
      <c r="AE33" s="179"/>
      <c r="AF33" s="179"/>
    </row>
    <row r="34" spans="1:49" ht="7.5" customHeight="1" x14ac:dyDescent="0.25">
      <c r="K34" s="72"/>
      <c r="L34" s="72"/>
      <c r="M34" s="72"/>
      <c r="N34" s="72"/>
      <c r="O34" s="6"/>
      <c r="P34" s="85"/>
      <c r="Q34" s="86"/>
      <c r="R34" s="86"/>
      <c r="S34" s="86"/>
      <c r="T34" s="85"/>
      <c r="Y34" s="87"/>
      <c r="Z34" s="87"/>
      <c r="AA34" s="87"/>
      <c r="AB34" s="87"/>
    </row>
    <row r="35" spans="1:49" s="14" customFormat="1" ht="20.100000000000001" customHeight="1" x14ac:dyDescent="0.25">
      <c r="A35" s="1"/>
      <c r="B35" s="1"/>
      <c r="C35" s="1" t="s">
        <v>17</v>
      </c>
      <c r="D35" s="1"/>
      <c r="E35" s="170"/>
      <c r="F35" s="170"/>
      <c r="G35" s="170"/>
      <c r="H35" s="170"/>
      <c r="I35" s="170"/>
      <c r="J35" s="170"/>
      <c r="K35" s="170"/>
      <c r="L35" s="170"/>
      <c r="M35" s="170"/>
      <c r="N35" s="170"/>
      <c r="O35" s="170"/>
      <c r="P35" s="170"/>
      <c r="Q35" s="170"/>
      <c r="R35" s="170"/>
      <c r="S35" s="88"/>
      <c r="T35" s="1"/>
      <c r="U35" s="1"/>
      <c r="V35" s="1"/>
      <c r="W35" s="1"/>
      <c r="X35" s="89" t="s">
        <v>18</v>
      </c>
      <c r="Y35" s="185"/>
      <c r="Z35" s="185"/>
      <c r="AA35" s="185"/>
      <c r="AB35" s="185"/>
      <c r="AC35" s="1"/>
      <c r="AD35" s="179"/>
      <c r="AE35" s="179"/>
      <c r="AF35" s="179"/>
      <c r="AG35" s="1"/>
      <c r="AH35" s="1"/>
      <c r="AI35" s="1"/>
      <c r="AJ35" s="1"/>
      <c r="AK35" s="1"/>
      <c r="AL35" s="1"/>
      <c r="AM35" s="1"/>
      <c r="AN35" s="1"/>
      <c r="AO35" s="1"/>
      <c r="AP35" s="1"/>
      <c r="AQ35" s="1"/>
      <c r="AR35" s="1"/>
      <c r="AS35" s="1"/>
      <c r="AT35" s="1"/>
      <c r="AU35" s="1"/>
      <c r="AV35" s="1"/>
      <c r="AW35" s="1"/>
    </row>
    <row r="36" spans="1:49" s="14" customFormat="1" ht="15.75" thickBot="1" x14ac:dyDescent="0.3">
      <c r="A36" s="1"/>
      <c r="B36" s="1"/>
      <c r="C36" s="1"/>
      <c r="D36" s="1"/>
      <c r="E36" s="1"/>
      <c r="F36" s="1"/>
      <c r="G36" s="1"/>
      <c r="H36" s="1"/>
      <c r="I36" s="1"/>
      <c r="J36" s="1"/>
      <c r="K36" s="1"/>
      <c r="L36" s="1"/>
      <c r="M36" s="1"/>
      <c r="N36" s="1"/>
      <c r="O36" s="1"/>
      <c r="P36" s="123"/>
      <c r="Q36" s="1"/>
      <c r="R36" s="1"/>
      <c r="S36" s="1"/>
      <c r="T36" s="1"/>
      <c r="U36" s="1"/>
      <c r="V36" s="1"/>
      <c r="W36" s="1"/>
      <c r="X36" s="1"/>
      <c r="Y36" s="90"/>
      <c r="Z36" s="90"/>
      <c r="AA36" s="90"/>
      <c r="AB36" s="90"/>
      <c r="AC36" s="1"/>
      <c r="AD36" s="1"/>
      <c r="AE36" s="1"/>
      <c r="AF36" s="1"/>
      <c r="AG36" s="1"/>
      <c r="AH36" s="1"/>
      <c r="AI36" s="1"/>
      <c r="AJ36" s="1"/>
      <c r="AK36" s="1"/>
      <c r="AL36" s="1"/>
      <c r="AM36" s="1"/>
      <c r="AN36" s="1"/>
      <c r="AO36" s="1"/>
      <c r="AP36" s="1"/>
      <c r="AQ36" s="1"/>
      <c r="AR36" s="1"/>
      <c r="AS36" s="1"/>
      <c r="AT36" s="1"/>
      <c r="AU36" s="1"/>
      <c r="AV36" s="1"/>
      <c r="AW36" s="1"/>
    </row>
    <row r="37" spans="1:49" ht="20.100000000000001" customHeight="1" thickBot="1" x14ac:dyDescent="0.3">
      <c r="A37" s="14"/>
      <c r="B37" s="14"/>
      <c r="C37" s="14"/>
      <c r="E37" s="14"/>
      <c r="F37" s="14"/>
      <c r="G37" s="14"/>
      <c r="H37" s="14"/>
      <c r="I37" s="14"/>
      <c r="J37" s="14"/>
      <c r="K37" s="14"/>
      <c r="L37" s="195"/>
      <c r="M37" s="195"/>
      <c r="N37" s="195"/>
      <c r="O37" s="195"/>
      <c r="P37" s="83"/>
      <c r="Q37" s="195"/>
      <c r="R37" s="195"/>
      <c r="S37" s="195"/>
      <c r="T37" s="14"/>
      <c r="U37" s="14"/>
      <c r="V37" s="14"/>
      <c r="W37" s="15" t="s">
        <v>8</v>
      </c>
      <c r="X37" s="91"/>
      <c r="Y37" s="196">
        <f>SUM(Y31:AB35)</f>
        <v>0</v>
      </c>
      <c r="Z37" s="197"/>
      <c r="AA37" s="197"/>
      <c r="AB37" s="198"/>
      <c r="AC37" s="14"/>
      <c r="AD37" s="14"/>
      <c r="AE37" s="14"/>
      <c r="AF37" s="14"/>
      <c r="AG37" s="14"/>
      <c r="AH37" s="14"/>
    </row>
    <row r="38" spans="1:49" ht="20.100000000000001" customHeight="1" x14ac:dyDescent="0.25">
      <c r="A38" s="14"/>
      <c r="B38" s="14"/>
      <c r="C38" s="14"/>
      <c r="E38" s="14"/>
      <c r="F38" s="14"/>
      <c r="G38" s="14"/>
      <c r="H38" s="14"/>
      <c r="I38" s="14"/>
      <c r="J38" s="14"/>
      <c r="K38" s="14"/>
      <c r="L38" s="124"/>
      <c r="M38" s="124"/>
      <c r="N38" s="124"/>
      <c r="O38" s="124"/>
      <c r="P38" s="83"/>
      <c r="Q38" s="124"/>
      <c r="R38" s="124"/>
      <c r="S38" s="124"/>
      <c r="T38" s="14"/>
      <c r="U38" s="14"/>
      <c r="V38" s="14"/>
      <c r="W38" s="15"/>
      <c r="X38" s="91"/>
      <c r="Y38" s="125"/>
      <c r="Z38" s="125"/>
      <c r="AA38" s="125"/>
      <c r="AB38" s="125"/>
      <c r="AC38" s="14"/>
      <c r="AD38" s="14"/>
      <c r="AE38" s="14"/>
      <c r="AF38" s="14"/>
      <c r="AG38" s="14"/>
      <c r="AH38" s="14"/>
    </row>
    <row r="39" spans="1:49" ht="20.100000000000001" customHeight="1" x14ac:dyDescent="0.25">
      <c r="T39" s="72"/>
      <c r="U39" s="72"/>
      <c r="V39" s="72"/>
      <c r="W39" s="72"/>
      <c r="X39" s="6" t="s">
        <v>192</v>
      </c>
      <c r="Y39" s="185"/>
      <c r="Z39" s="185"/>
      <c r="AA39" s="185"/>
      <c r="AB39" s="185"/>
      <c r="AD39" s="179"/>
      <c r="AE39" s="179"/>
      <c r="AF39" s="179"/>
      <c r="AI39" s="14"/>
      <c r="AJ39" s="14"/>
      <c r="AK39" s="14"/>
      <c r="AL39" s="14"/>
      <c r="AM39" s="14"/>
      <c r="AN39" s="14"/>
      <c r="AO39" s="14"/>
      <c r="AP39" s="14"/>
      <c r="AQ39" s="14"/>
      <c r="AR39" s="14"/>
      <c r="AS39" s="14"/>
      <c r="AT39" s="14"/>
      <c r="AU39" s="14"/>
      <c r="AV39" s="14"/>
      <c r="AW39" s="14"/>
    </row>
    <row r="40" spans="1:49" ht="7.5" customHeight="1" x14ac:dyDescent="0.25">
      <c r="Y40" s="126"/>
      <c r="Z40" s="126"/>
      <c r="AA40" s="126"/>
      <c r="AB40" s="126"/>
      <c r="AI40" s="14"/>
      <c r="AJ40" s="14"/>
      <c r="AK40" s="14"/>
      <c r="AL40" s="14"/>
      <c r="AM40" s="14"/>
      <c r="AN40" s="14"/>
      <c r="AO40" s="14"/>
      <c r="AP40" s="14"/>
      <c r="AQ40" s="14"/>
      <c r="AR40" s="14"/>
      <c r="AS40" s="14"/>
      <c r="AT40" s="14"/>
      <c r="AU40" s="14"/>
      <c r="AV40" s="14"/>
      <c r="AW40" s="14"/>
    </row>
    <row r="41" spans="1:49" ht="20.100000000000001" customHeight="1" x14ac:dyDescent="0.25">
      <c r="T41" s="72"/>
      <c r="U41" s="72"/>
      <c r="V41" s="72"/>
      <c r="W41" s="72"/>
      <c r="X41" s="6" t="s">
        <v>191</v>
      </c>
      <c r="Y41" s="185"/>
      <c r="Z41" s="185"/>
      <c r="AA41" s="185"/>
      <c r="AB41" s="185"/>
      <c r="AD41" s="179"/>
      <c r="AE41" s="179"/>
      <c r="AF41" s="179"/>
    </row>
    <row r="42" spans="1:49" ht="7.5" customHeight="1" x14ac:dyDescent="0.25">
      <c r="P42" s="85"/>
      <c r="Y42" s="87"/>
      <c r="Z42" s="87"/>
      <c r="AA42" s="87"/>
      <c r="AB42" s="87"/>
    </row>
    <row r="43" spans="1:49" ht="20.100000000000001" customHeight="1" thickBot="1" x14ac:dyDescent="0.3">
      <c r="A43" s="14"/>
      <c r="B43" s="14"/>
      <c r="C43" s="14"/>
      <c r="D43" s="14"/>
      <c r="E43" s="14"/>
      <c r="F43" s="14"/>
      <c r="G43" s="14"/>
      <c r="H43" s="14"/>
      <c r="I43" s="14"/>
      <c r="J43" s="14"/>
      <c r="K43" s="14"/>
      <c r="L43" s="124"/>
      <c r="M43" s="124"/>
      <c r="N43" s="124"/>
      <c r="O43" s="124"/>
      <c r="P43" s="83"/>
      <c r="Q43" s="124"/>
      <c r="R43" s="124"/>
      <c r="S43" s="124"/>
      <c r="T43" s="14"/>
      <c r="U43" s="91"/>
      <c r="V43" s="92"/>
      <c r="W43" s="92"/>
      <c r="X43" s="92"/>
      <c r="Y43" s="92"/>
      <c r="Z43" s="14"/>
      <c r="AA43" s="14"/>
      <c r="AB43" s="14"/>
      <c r="AC43" s="14"/>
      <c r="AD43" s="14"/>
      <c r="AE43" s="14"/>
      <c r="AF43" s="14"/>
      <c r="AG43" s="14"/>
      <c r="AH43" s="14"/>
    </row>
    <row r="44" spans="1:49" ht="7.5" customHeight="1" thickTop="1" x14ac:dyDescent="0.25">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row>
    <row r="45" spans="1:49" ht="20.100000000000001" customHeight="1" x14ac:dyDescent="0.3">
      <c r="E45" s="18" t="s">
        <v>139</v>
      </c>
      <c r="F45" s="181" t="str">
        <f>IF(+'Request for Layout'!F18:AC18&gt;0,+'Request for Layout'!F18:AC18,+'Request for Layout'!F9:AC9)</f>
        <v>The Roxbury Group - Vince Dattilo</v>
      </c>
      <c r="G45" s="181"/>
      <c r="H45" s="181"/>
      <c r="I45" s="181"/>
      <c r="J45" s="181"/>
      <c r="K45" s="181"/>
      <c r="L45" s="181"/>
      <c r="M45" s="181"/>
      <c r="N45" s="181"/>
      <c r="O45" s="181"/>
      <c r="P45" s="181"/>
      <c r="Q45" s="181"/>
      <c r="R45" s="181"/>
      <c r="S45" s="181"/>
      <c r="T45" s="181"/>
      <c r="U45" s="181"/>
      <c r="V45" s="181"/>
      <c r="W45" s="181"/>
      <c r="X45" s="181"/>
      <c r="Y45" s="181"/>
      <c r="Z45" s="181"/>
      <c r="AA45" s="181"/>
      <c r="AB45" s="181"/>
      <c r="AC45" s="181"/>
    </row>
    <row r="46" spans="1:49" ht="7.5" customHeight="1" x14ac:dyDescent="0.25">
      <c r="F46" s="9"/>
      <c r="G46" s="9"/>
      <c r="H46" s="9"/>
      <c r="I46" s="9"/>
      <c r="J46" s="9"/>
      <c r="K46" s="9"/>
      <c r="L46" s="9"/>
      <c r="M46" s="9"/>
      <c r="N46" s="9"/>
      <c r="O46" s="9"/>
      <c r="P46" s="9"/>
      <c r="Q46" s="9"/>
      <c r="R46" s="9"/>
      <c r="S46" s="9"/>
      <c r="T46" s="9"/>
      <c r="U46" s="9"/>
      <c r="V46" s="9"/>
      <c r="W46" s="9"/>
      <c r="X46" s="9"/>
      <c r="Y46" s="9"/>
      <c r="Z46" s="9"/>
      <c r="AA46" s="9"/>
      <c r="AB46" s="9"/>
      <c r="AC46" s="9"/>
    </row>
    <row r="47" spans="1:49" ht="20.100000000000001" customHeight="1" x14ac:dyDescent="0.3">
      <c r="E47" s="15" t="s">
        <v>19</v>
      </c>
      <c r="F47" s="181" t="str">
        <f>IF(+'Request for Layout'!F20:AC20&gt;0,+'Request for Layout'!F20:AC20,+'Request for Layout'!F11:AC11)</f>
        <v>535 Griswold Street, Suite 2650</v>
      </c>
      <c r="G47" s="181"/>
      <c r="H47" s="181"/>
      <c r="I47" s="181"/>
      <c r="J47" s="181"/>
      <c r="K47" s="181"/>
      <c r="L47" s="181"/>
      <c r="M47" s="181"/>
      <c r="N47" s="181"/>
      <c r="O47" s="181"/>
      <c r="P47" s="181"/>
      <c r="Q47" s="181"/>
      <c r="R47" s="181"/>
      <c r="S47" s="181"/>
      <c r="T47" s="181"/>
      <c r="U47" s="181"/>
      <c r="V47" s="181"/>
      <c r="W47" s="181"/>
      <c r="X47" s="181"/>
      <c r="Y47" s="181"/>
      <c r="Z47" s="181"/>
      <c r="AA47" s="181"/>
      <c r="AB47" s="181"/>
      <c r="AC47" s="181"/>
    </row>
    <row r="48" spans="1:49" ht="7.5" customHeight="1" x14ac:dyDescent="0.25">
      <c r="E48" s="15"/>
      <c r="F48" s="9"/>
      <c r="G48" s="9"/>
      <c r="H48" s="9"/>
      <c r="I48" s="9"/>
      <c r="J48" s="9"/>
      <c r="K48" s="9"/>
      <c r="L48" s="9"/>
      <c r="M48" s="9"/>
      <c r="N48" s="9"/>
      <c r="O48" s="9"/>
      <c r="P48" s="9"/>
      <c r="Q48" s="9"/>
      <c r="R48" s="9"/>
      <c r="S48" s="9"/>
      <c r="T48" s="9"/>
      <c r="U48" s="9"/>
      <c r="V48" s="9"/>
      <c r="W48" s="9"/>
      <c r="X48" s="9"/>
      <c r="Y48" s="9"/>
      <c r="Z48" s="9"/>
      <c r="AA48" s="9"/>
      <c r="AB48" s="9"/>
      <c r="AC48" s="9"/>
    </row>
    <row r="49" spans="5:29" ht="20.100000000000001" customHeight="1" x14ac:dyDescent="0.3">
      <c r="E49" s="15" t="s">
        <v>20</v>
      </c>
      <c r="F49" s="181" t="str">
        <f>IF(+'Request for Layout'!F22:T22&gt;0,+'Request for Layout'!F22:T22,+'Request for Layout'!F13:T13)</f>
        <v>Detroit</v>
      </c>
      <c r="G49" s="181"/>
      <c r="H49" s="181"/>
      <c r="I49" s="181"/>
      <c r="J49" s="181"/>
      <c r="K49" s="181"/>
      <c r="L49" s="181"/>
      <c r="M49" s="181"/>
      <c r="N49" s="181"/>
      <c r="O49" s="181"/>
      <c r="P49" s="181"/>
      <c r="Q49" s="181"/>
      <c r="R49" s="2"/>
      <c r="S49" s="9"/>
      <c r="T49" s="9"/>
      <c r="U49" s="173" t="s">
        <v>13</v>
      </c>
      <c r="V49" s="173"/>
      <c r="W49" s="181" t="str">
        <f>IF(+'Request for Layout'!W22:Y22&gt;0,+'Request for Layout'!W22:Y22,+'Request for Layout'!W13:Y13)</f>
        <v>MI</v>
      </c>
      <c r="X49" s="181"/>
      <c r="Y49" s="181"/>
      <c r="Z49" s="93" t="s">
        <v>14</v>
      </c>
      <c r="AA49" s="181">
        <f>IF(+'Request for Layout'!AA22:AC22&gt;0,+'Request for Layout'!AA22:AC22,+'Request for Layout'!AA13:AC13)</f>
        <v>48226</v>
      </c>
      <c r="AB49" s="181"/>
      <c r="AC49" s="181"/>
    </row>
    <row r="50" spans="5:29" x14ac:dyDescent="0.25">
      <c r="E50" s="15"/>
      <c r="F50" s="9"/>
      <c r="G50" s="9"/>
      <c r="H50" s="9"/>
      <c r="I50" s="9"/>
      <c r="J50" s="9"/>
      <c r="K50" s="9"/>
      <c r="L50" s="9"/>
      <c r="M50" s="9"/>
      <c r="N50" s="9"/>
      <c r="O50" s="9"/>
      <c r="P50" s="9"/>
      <c r="Q50" s="9"/>
      <c r="R50" s="9"/>
      <c r="S50" s="9"/>
      <c r="T50" s="9"/>
      <c r="U50" s="9"/>
      <c r="V50" s="9"/>
      <c r="W50" s="9"/>
      <c r="X50" s="9"/>
      <c r="Y50" s="9"/>
      <c r="Z50" s="9"/>
      <c r="AA50" s="9"/>
      <c r="AB50" s="9"/>
      <c r="AC50" s="9"/>
    </row>
    <row r="51" spans="5:29" ht="18.75" x14ac:dyDescent="0.3">
      <c r="E51" s="15" t="s">
        <v>21</v>
      </c>
      <c r="F51" s="181" t="str">
        <f>IF(+'Request for Layout'!F24:P24&gt;0,+'Request for Layout'!F24:P24,+'Request for Layout'!F15:P15)</f>
        <v>248-496-9099 / 313-963-6118</v>
      </c>
      <c r="G51" s="181"/>
      <c r="H51" s="181"/>
      <c r="I51" s="181"/>
      <c r="J51" s="181"/>
      <c r="K51" s="181"/>
      <c r="L51" s="181"/>
      <c r="M51" s="181"/>
      <c r="N51" s="181"/>
      <c r="O51" s="181"/>
      <c r="P51" s="181"/>
      <c r="Q51" s="181"/>
      <c r="R51" s="2"/>
      <c r="S51" s="2" t="s">
        <v>15</v>
      </c>
      <c r="T51" s="190" t="str">
        <f>IF(+'Request for Layout'!T24:AC245,+'Request for Layout'!T24:AC24,+'Request for Layout'!T15:AC15)</f>
        <v>vdattilo@roxburygroup.com</v>
      </c>
      <c r="U51" s="190"/>
      <c r="V51" s="190"/>
      <c r="W51" s="190"/>
      <c r="X51" s="190"/>
      <c r="Y51" s="190"/>
      <c r="Z51" s="190"/>
      <c r="AA51" s="190"/>
      <c r="AB51" s="190"/>
      <c r="AC51" s="190"/>
    </row>
    <row r="55" spans="5:29" ht="15.75" x14ac:dyDescent="0.25">
      <c r="V55" s="180"/>
      <c r="W55" s="180"/>
      <c r="X55" s="180"/>
    </row>
  </sheetData>
  <sheetProtection password="CC1D" sheet="1" objects="1" scenarios="1"/>
  <mergeCells count="62">
    <mergeCell ref="AG1:AW1"/>
    <mergeCell ref="AG2:AW2"/>
    <mergeCell ref="AD41:AF41"/>
    <mergeCell ref="U49:V49"/>
    <mergeCell ref="H8:AC8"/>
    <mergeCell ref="AJ31:AK31"/>
    <mergeCell ref="Y26:AB26"/>
    <mergeCell ref="U27:W27"/>
    <mergeCell ref="U28:W28"/>
    <mergeCell ref="U29:W29"/>
    <mergeCell ref="U30:W30"/>
    <mergeCell ref="U31:W31"/>
    <mergeCell ref="U33:W33"/>
    <mergeCell ref="Q26:S26"/>
    <mergeCell ref="AJ29:AK29"/>
    <mergeCell ref="AI27:AK27"/>
    <mergeCell ref="AG16:AJ16"/>
    <mergeCell ref="AA10:AC10"/>
    <mergeCell ref="L30:O30"/>
    <mergeCell ref="L29:O29"/>
    <mergeCell ref="I10:T10"/>
    <mergeCell ref="Y41:AB41"/>
    <mergeCell ref="H12:AC12"/>
    <mergeCell ref="I14:T14"/>
    <mergeCell ref="Q27:S27"/>
    <mergeCell ref="Y39:AB39"/>
    <mergeCell ref="L28:O28"/>
    <mergeCell ref="Y28:AB28"/>
    <mergeCell ref="Y29:AB29"/>
    <mergeCell ref="Y30:AB30"/>
    <mergeCell ref="F51:Q51"/>
    <mergeCell ref="AD33:AF33"/>
    <mergeCell ref="AA14:AC14"/>
    <mergeCell ref="Z16:AC16"/>
    <mergeCell ref="Y27:AB27"/>
    <mergeCell ref="Z17:AC17"/>
    <mergeCell ref="AD35:AF35"/>
    <mergeCell ref="F45:AC45"/>
    <mergeCell ref="F47:AC47"/>
    <mergeCell ref="L37:O37"/>
    <mergeCell ref="Q37:S37"/>
    <mergeCell ref="Y37:AB37"/>
    <mergeCell ref="A44:AD44"/>
    <mergeCell ref="Y31:AB31"/>
    <mergeCell ref="Q28:S28"/>
    <mergeCell ref="Q29:S29"/>
    <mergeCell ref="AD39:AF39"/>
    <mergeCell ref="H6:AC6"/>
    <mergeCell ref="V55:X55"/>
    <mergeCell ref="AA49:AC49"/>
    <mergeCell ref="W49:Y49"/>
    <mergeCell ref="Q30:S30"/>
    <mergeCell ref="Q33:S33"/>
    <mergeCell ref="L27:O27"/>
    <mergeCell ref="Y35:AB35"/>
    <mergeCell ref="L31:O31"/>
    <mergeCell ref="Q31:S31"/>
    <mergeCell ref="F49:Q49"/>
    <mergeCell ref="L26:O26"/>
    <mergeCell ref="Y33:AB33"/>
    <mergeCell ref="E35:R35"/>
    <mergeCell ref="T51:AC51"/>
  </mergeCells>
  <printOptions horizontalCentered="1" verticalCentered="1"/>
  <pageMargins left="0.25" right="0.25" top="0.75" bottom="0.75" header="0.3" footer="0.3"/>
  <pageSetup scale="8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32"/>
  <sheetViews>
    <sheetView workbookViewId="0">
      <selection activeCell="AR11" sqref="AR11"/>
    </sheetView>
  </sheetViews>
  <sheetFormatPr defaultRowHeight="15" x14ac:dyDescent="0.25"/>
  <cols>
    <col min="1" max="84" width="3.7109375" style="1" customWidth="1"/>
    <col min="85" max="16384" width="9.140625" style="1"/>
  </cols>
  <sheetData>
    <row r="1" spans="1:34" ht="21" x14ac:dyDescent="0.35">
      <c r="AB1" s="74" t="s">
        <v>163</v>
      </c>
      <c r="AH1" s="75"/>
    </row>
    <row r="2" spans="1:34" ht="15.75" x14ac:dyDescent="0.25">
      <c r="U2" s="220" t="s">
        <v>164</v>
      </c>
      <c r="V2" s="221"/>
      <c r="W2" s="221"/>
      <c r="X2" s="222"/>
      <c r="Y2" s="220" t="s">
        <v>165</v>
      </c>
      <c r="Z2" s="221"/>
      <c r="AA2" s="221"/>
      <c r="AB2" s="222"/>
    </row>
    <row r="3" spans="1:34" x14ac:dyDescent="0.25">
      <c r="U3" s="223">
        <v>41527</v>
      </c>
      <c r="V3" s="190"/>
      <c r="W3" s="190"/>
      <c r="X3" s="224"/>
      <c r="Y3" s="225" t="s">
        <v>166</v>
      </c>
      <c r="Z3" s="190"/>
      <c r="AA3" s="190"/>
      <c r="AB3" s="224"/>
    </row>
    <row r="4" spans="1:34" x14ac:dyDescent="0.25">
      <c r="U4" s="119"/>
      <c r="V4" s="2"/>
      <c r="W4" s="2"/>
      <c r="X4" s="2"/>
      <c r="Y4" s="120"/>
      <c r="Z4" s="2"/>
      <c r="AA4" s="2"/>
      <c r="AB4" s="2"/>
    </row>
    <row r="5" spans="1:34" x14ac:dyDescent="0.25">
      <c r="A5" s="1" t="s">
        <v>167</v>
      </c>
      <c r="U5" s="10"/>
      <c r="V5" s="10"/>
      <c r="W5" s="10"/>
      <c r="X5" s="10"/>
      <c r="Y5" s="3"/>
      <c r="Z5" s="94"/>
      <c r="AA5" s="94"/>
      <c r="AB5" s="94"/>
    </row>
    <row r="6" spans="1:34" x14ac:dyDescent="0.25">
      <c r="A6" s="1" t="s">
        <v>168</v>
      </c>
      <c r="U6" s="10"/>
      <c r="V6" s="10"/>
      <c r="W6" s="10"/>
      <c r="X6" s="10"/>
      <c r="Y6" s="3"/>
      <c r="Z6" s="94"/>
      <c r="AA6" s="94"/>
      <c r="AB6" s="94"/>
    </row>
    <row r="7" spans="1:34" x14ac:dyDescent="0.25">
      <c r="A7" s="1" t="s">
        <v>169</v>
      </c>
      <c r="U7" s="10"/>
      <c r="V7" s="10"/>
      <c r="W7" s="10"/>
      <c r="X7" s="10"/>
      <c r="Y7" s="3"/>
      <c r="Z7" s="94"/>
      <c r="AA7" s="94"/>
      <c r="AB7" s="94"/>
    </row>
    <row r="8" spans="1:34" ht="18.75" x14ac:dyDescent="0.3">
      <c r="B8" s="76"/>
      <c r="C8" s="76"/>
      <c r="D8" s="76"/>
      <c r="E8" s="76"/>
      <c r="F8" s="76"/>
      <c r="G8" s="76"/>
      <c r="H8" s="76"/>
      <c r="I8" s="76"/>
      <c r="J8" s="76"/>
      <c r="K8" s="76"/>
      <c r="L8" s="76"/>
      <c r="M8" s="76"/>
      <c r="N8" s="76"/>
      <c r="O8" s="76"/>
      <c r="P8" s="76"/>
      <c r="Q8" s="76"/>
      <c r="R8" s="76"/>
      <c r="S8" s="76"/>
      <c r="T8" s="76"/>
      <c r="U8" s="76"/>
      <c r="V8" s="76"/>
      <c r="W8" s="76"/>
      <c r="X8" s="76"/>
      <c r="Y8" s="76"/>
      <c r="Z8" s="76"/>
      <c r="AA8" s="76"/>
      <c r="AB8" s="76"/>
      <c r="AC8" s="76"/>
    </row>
    <row r="9" spans="1:34" ht="18.75" x14ac:dyDescent="0.3">
      <c r="A9" s="21" t="s">
        <v>170</v>
      </c>
      <c r="E9" s="6"/>
      <c r="H9" s="2"/>
      <c r="I9" s="2"/>
      <c r="J9" s="2"/>
      <c r="K9" s="2"/>
      <c r="L9" s="2"/>
      <c r="M9" s="2"/>
      <c r="N9" s="2"/>
      <c r="O9" s="2"/>
      <c r="P9" s="2"/>
      <c r="Q9" s="226" t="s">
        <v>171</v>
      </c>
      <c r="R9" s="227"/>
      <c r="S9" s="227"/>
      <c r="T9" s="228"/>
      <c r="U9" s="95"/>
      <c r="V9" s="96" t="s">
        <v>172</v>
      </c>
      <c r="W9" s="96"/>
      <c r="X9" s="97"/>
      <c r="Y9" s="226" t="s">
        <v>173</v>
      </c>
      <c r="Z9" s="227"/>
      <c r="AA9" s="227"/>
      <c r="AB9" s="228"/>
    </row>
    <row r="10" spans="1:34" ht="18.75" x14ac:dyDescent="0.3">
      <c r="A10" s="233" t="s">
        <v>174</v>
      </c>
      <c r="B10" s="234"/>
      <c r="C10" s="234"/>
      <c r="D10" s="234"/>
      <c r="E10" s="234"/>
      <c r="F10" s="234"/>
      <c r="G10" s="234"/>
      <c r="H10" s="235"/>
      <c r="I10" s="2"/>
      <c r="J10" s="2"/>
      <c r="K10" s="2"/>
      <c r="L10" s="2"/>
      <c r="M10" s="2"/>
      <c r="N10" s="2"/>
      <c r="O10" s="2"/>
      <c r="P10" s="2"/>
      <c r="Q10" s="229"/>
      <c r="R10" s="229"/>
      <c r="S10" s="229"/>
      <c r="T10" s="229"/>
      <c r="U10" s="229"/>
      <c r="V10" s="229"/>
      <c r="W10" s="229"/>
      <c r="X10" s="229"/>
      <c r="Y10" s="229" t="s">
        <v>175</v>
      </c>
      <c r="Z10" s="229"/>
      <c r="AA10" s="229"/>
      <c r="AB10" s="229"/>
    </row>
    <row r="11" spans="1:34" ht="18.75" x14ac:dyDescent="0.3">
      <c r="A11" s="236" t="s">
        <v>176</v>
      </c>
      <c r="B11" s="237"/>
      <c r="C11" s="237"/>
      <c r="D11" s="237"/>
      <c r="E11" s="237"/>
      <c r="F11" s="237"/>
      <c r="G11" s="237"/>
      <c r="H11" s="238"/>
      <c r="I11" s="2"/>
      <c r="J11" s="2"/>
      <c r="K11" s="2"/>
      <c r="L11" s="2"/>
      <c r="M11" s="2"/>
      <c r="N11" s="2"/>
      <c r="O11" s="2"/>
      <c r="P11" s="2"/>
      <c r="Q11" s="2"/>
      <c r="R11" s="2"/>
      <c r="S11" s="2"/>
      <c r="T11" s="2"/>
      <c r="U11" s="2"/>
      <c r="V11" s="2"/>
      <c r="W11" s="2"/>
      <c r="X11" s="2"/>
      <c r="Y11" s="2"/>
      <c r="Z11" s="2"/>
      <c r="AA11" s="2"/>
      <c r="AB11" s="2"/>
    </row>
    <row r="12" spans="1:34" ht="18.75" x14ac:dyDescent="0.3">
      <c r="A12" s="239" t="s">
        <v>177</v>
      </c>
      <c r="B12" s="240"/>
      <c r="C12" s="240"/>
      <c r="D12" s="240"/>
      <c r="E12" s="240"/>
      <c r="F12" s="240"/>
      <c r="G12" s="240"/>
      <c r="H12" s="241"/>
      <c r="I12" s="2"/>
      <c r="J12" s="2"/>
      <c r="K12" s="2"/>
      <c r="L12" s="2"/>
      <c r="M12" s="2"/>
      <c r="N12" s="2"/>
      <c r="O12" s="2"/>
      <c r="P12" s="2"/>
      <c r="Q12" s="2"/>
      <c r="R12" s="2"/>
      <c r="S12" s="2"/>
      <c r="T12" s="2"/>
      <c r="U12" s="2"/>
      <c r="V12" s="2"/>
      <c r="W12" s="2"/>
      <c r="X12" s="2"/>
      <c r="Y12" s="2"/>
      <c r="Z12" s="2"/>
      <c r="AA12" s="2"/>
      <c r="AB12" s="2"/>
    </row>
    <row r="13" spans="1:34" ht="18.75" x14ac:dyDescent="0.3">
      <c r="A13" s="21"/>
      <c r="E13" s="6"/>
      <c r="H13" s="2"/>
      <c r="I13" s="2"/>
      <c r="J13" s="2"/>
      <c r="K13" s="2"/>
      <c r="L13" s="2"/>
      <c r="M13" s="2"/>
      <c r="N13" s="2"/>
      <c r="O13" s="2"/>
      <c r="P13" s="2"/>
      <c r="Q13" s="2"/>
      <c r="R13" s="2"/>
      <c r="S13" s="2"/>
      <c r="T13" s="2"/>
      <c r="U13" s="2"/>
      <c r="V13" s="2"/>
      <c r="W13" s="2"/>
      <c r="X13" s="2"/>
      <c r="Y13" s="2"/>
      <c r="Z13" s="2"/>
      <c r="AA13" s="2"/>
      <c r="AB13" s="2"/>
      <c r="AC13" s="2"/>
    </row>
    <row r="14" spans="1:34" ht="19.5" thickBot="1" x14ac:dyDescent="0.35">
      <c r="A14" s="21"/>
      <c r="E14" s="6"/>
      <c r="H14" s="2"/>
      <c r="I14" s="2"/>
      <c r="J14" s="2"/>
      <c r="K14" s="2"/>
      <c r="L14" s="2"/>
      <c r="M14" s="2"/>
      <c r="N14" s="2"/>
      <c r="O14" s="2"/>
      <c r="P14" s="2"/>
      <c r="Q14" s="2"/>
      <c r="R14" s="2"/>
      <c r="S14" s="2"/>
      <c r="T14" s="2"/>
      <c r="U14" s="2"/>
      <c r="V14" s="2"/>
      <c r="W14" s="2"/>
      <c r="X14" s="2"/>
      <c r="Y14" s="2"/>
      <c r="Z14" s="2"/>
      <c r="AA14" s="2"/>
      <c r="AB14" s="2"/>
      <c r="AC14" s="2"/>
    </row>
    <row r="15" spans="1:34" ht="19.5" thickBot="1" x14ac:dyDescent="0.35">
      <c r="A15" s="230" t="s">
        <v>178</v>
      </c>
      <c r="B15" s="231"/>
      <c r="C15" s="231"/>
      <c r="D15" s="232"/>
      <c r="E15" s="98" t="s">
        <v>179</v>
      </c>
      <c r="F15" s="99"/>
      <c r="G15" s="99"/>
      <c r="H15" s="100"/>
      <c r="I15" s="99"/>
      <c r="J15" s="99"/>
      <c r="K15" s="99"/>
      <c r="L15" s="99"/>
      <c r="M15" s="99"/>
      <c r="N15" s="99"/>
      <c r="O15" s="99"/>
      <c r="P15" s="99"/>
      <c r="Q15" s="99"/>
      <c r="R15" s="99"/>
      <c r="S15" s="99"/>
      <c r="T15" s="101"/>
      <c r="U15" s="230" t="s">
        <v>180</v>
      </c>
      <c r="V15" s="231"/>
      <c r="W15" s="231"/>
      <c r="X15" s="232"/>
      <c r="Y15" s="230" t="s">
        <v>181</v>
      </c>
      <c r="Z15" s="231"/>
      <c r="AA15" s="231"/>
      <c r="AB15" s="232"/>
    </row>
    <row r="16" spans="1:34" ht="15.75" x14ac:dyDescent="0.25">
      <c r="A16" s="102"/>
      <c r="B16" s="11"/>
      <c r="C16" s="11"/>
      <c r="D16" s="45"/>
      <c r="E16" s="102"/>
      <c r="F16" s="11"/>
      <c r="G16" s="11"/>
      <c r="H16" s="11"/>
      <c r="I16" s="11"/>
      <c r="J16" s="11"/>
      <c r="K16" s="11"/>
      <c r="L16" s="11"/>
      <c r="M16" s="11"/>
      <c r="N16" s="11"/>
      <c r="O16" s="11"/>
      <c r="P16" s="11"/>
      <c r="Q16" s="11"/>
      <c r="R16" s="11"/>
      <c r="S16" s="11"/>
      <c r="T16" s="45"/>
      <c r="U16" s="102"/>
      <c r="V16" s="180"/>
      <c r="W16" s="180"/>
      <c r="X16" s="242"/>
      <c r="Y16" s="102"/>
      <c r="Z16" s="11"/>
      <c r="AA16" s="11"/>
      <c r="AB16" s="45"/>
    </row>
    <row r="17" spans="1:28" x14ac:dyDescent="0.25">
      <c r="A17" s="243">
        <v>33580</v>
      </c>
      <c r="B17" s="244"/>
      <c r="C17" s="244"/>
      <c r="D17" s="245"/>
      <c r="E17" s="102" t="s">
        <v>182</v>
      </c>
      <c r="F17" s="11"/>
      <c r="G17" s="11"/>
      <c r="H17" s="11"/>
      <c r="I17" s="11"/>
      <c r="J17" s="11"/>
      <c r="K17" s="11"/>
      <c r="L17" s="11"/>
      <c r="M17" s="11"/>
      <c r="N17" s="11"/>
      <c r="O17" s="11"/>
      <c r="P17" s="11"/>
      <c r="Q17" s="11"/>
      <c r="R17" s="11"/>
      <c r="S17" s="11"/>
      <c r="T17" s="45"/>
      <c r="U17" s="246"/>
      <c r="V17" s="247"/>
      <c r="W17" s="247"/>
      <c r="X17" s="248"/>
      <c r="Y17" s="246">
        <v>308936</v>
      </c>
      <c r="Z17" s="247"/>
      <c r="AA17" s="247"/>
      <c r="AB17" s="248"/>
    </row>
    <row r="18" spans="1:28" x14ac:dyDescent="0.25">
      <c r="A18" s="243">
        <v>33580</v>
      </c>
      <c r="B18" s="244"/>
      <c r="C18" s="244"/>
      <c r="D18" s="245"/>
      <c r="E18" s="102" t="s">
        <v>183</v>
      </c>
      <c r="F18" s="11"/>
      <c r="G18" s="11"/>
      <c r="H18" s="11"/>
      <c r="I18" s="11"/>
      <c r="J18" s="11"/>
      <c r="K18" s="11"/>
      <c r="L18" s="11"/>
      <c r="M18" s="11"/>
      <c r="N18" s="11"/>
      <c r="O18" s="11"/>
      <c r="P18" s="11"/>
      <c r="Q18" s="11"/>
      <c r="R18" s="11"/>
      <c r="S18" s="11"/>
      <c r="T18" s="45"/>
      <c r="U18" s="246"/>
      <c r="V18" s="247"/>
      <c r="W18" s="247"/>
      <c r="X18" s="248"/>
      <c r="Y18" s="249">
        <v>-209203.4</v>
      </c>
      <c r="Z18" s="250"/>
      <c r="AA18" s="250"/>
      <c r="AB18" s="251"/>
    </row>
    <row r="19" spans="1:28" s="14" customFormat="1" x14ac:dyDescent="0.25">
      <c r="A19" s="252"/>
      <c r="B19" s="195"/>
      <c r="C19" s="195"/>
      <c r="D19" s="253"/>
      <c r="E19" s="103" t="s">
        <v>184</v>
      </c>
      <c r="F19" s="104"/>
      <c r="G19" s="104"/>
      <c r="H19" s="104"/>
      <c r="I19" s="104"/>
      <c r="J19" s="104"/>
      <c r="K19" s="104"/>
      <c r="L19" s="104"/>
      <c r="M19" s="104"/>
      <c r="N19" s="104"/>
      <c r="O19" s="104"/>
      <c r="P19" s="104"/>
      <c r="Q19" s="104"/>
      <c r="R19" s="104"/>
      <c r="S19" s="104"/>
      <c r="T19" s="105"/>
      <c r="U19" s="254"/>
      <c r="V19" s="255"/>
      <c r="W19" s="255"/>
      <c r="X19" s="256"/>
      <c r="Y19" s="254">
        <f>SUM(Y17:AB18)</f>
        <v>99732.6</v>
      </c>
      <c r="Z19" s="255"/>
      <c r="AA19" s="255"/>
      <c r="AB19" s="256"/>
    </row>
    <row r="20" spans="1:28" x14ac:dyDescent="0.25">
      <c r="A20" s="102"/>
      <c r="B20" s="11"/>
      <c r="C20" s="11"/>
      <c r="D20" s="45"/>
      <c r="E20" s="102"/>
      <c r="F20" s="11"/>
      <c r="G20" s="11"/>
      <c r="H20" s="11"/>
      <c r="I20" s="11"/>
      <c r="J20" s="11"/>
      <c r="K20" s="11"/>
      <c r="L20" s="11"/>
      <c r="M20" s="11"/>
      <c r="N20" s="11"/>
      <c r="O20" s="11"/>
      <c r="P20" s="11"/>
      <c r="Q20" s="11"/>
      <c r="R20" s="11"/>
      <c r="S20" s="11"/>
      <c r="T20" s="45"/>
      <c r="U20" s="102"/>
      <c r="V20" s="11"/>
      <c r="W20" s="11"/>
      <c r="X20" s="45"/>
      <c r="Y20" s="102"/>
      <c r="Z20" s="11"/>
      <c r="AA20" s="11"/>
      <c r="AB20" s="45"/>
    </row>
    <row r="21" spans="1:28" s="115" customFormat="1" x14ac:dyDescent="0.25">
      <c r="A21" s="106"/>
      <c r="B21" s="107"/>
      <c r="C21" s="107"/>
      <c r="D21" s="108"/>
      <c r="E21" s="109" t="s">
        <v>185</v>
      </c>
      <c r="F21" s="110"/>
      <c r="G21" s="110"/>
      <c r="H21" s="110"/>
      <c r="I21" s="110"/>
      <c r="J21" s="110"/>
      <c r="K21" s="110"/>
      <c r="L21" s="110"/>
      <c r="M21" s="110"/>
      <c r="N21" s="110"/>
      <c r="O21" s="110"/>
      <c r="P21" s="110"/>
      <c r="Q21" s="110"/>
      <c r="R21" s="110"/>
      <c r="S21" s="110"/>
      <c r="T21" s="111"/>
      <c r="U21" s="112"/>
      <c r="V21" s="113"/>
      <c r="W21" s="113"/>
      <c r="X21" s="114"/>
      <c r="Y21" s="112"/>
      <c r="Z21" s="113"/>
      <c r="AA21" s="113"/>
      <c r="AB21" s="114"/>
    </row>
    <row r="22" spans="1:28" s="115" customFormat="1" x14ac:dyDescent="0.25">
      <c r="A22" s="106"/>
      <c r="B22" s="107"/>
      <c r="C22" s="107"/>
      <c r="D22" s="108"/>
      <c r="E22" s="109" t="s">
        <v>186</v>
      </c>
      <c r="F22" s="110"/>
      <c r="G22" s="110"/>
      <c r="H22" s="110"/>
      <c r="I22" s="110"/>
      <c r="J22" s="110"/>
      <c r="K22" s="110"/>
      <c r="L22" s="110"/>
      <c r="M22" s="110"/>
      <c r="N22" s="110"/>
      <c r="O22" s="110"/>
      <c r="P22" s="110"/>
      <c r="Q22" s="110"/>
      <c r="R22" s="110"/>
      <c r="S22" s="110"/>
      <c r="T22" s="111"/>
      <c r="U22" s="112"/>
      <c r="V22" s="113"/>
      <c r="W22" s="113"/>
      <c r="X22" s="114"/>
      <c r="Y22" s="112"/>
      <c r="Z22" s="113"/>
      <c r="AA22" s="113"/>
      <c r="AB22" s="114"/>
    </row>
    <row r="23" spans="1:28" s="115" customFormat="1" x14ac:dyDescent="0.25">
      <c r="A23" s="106"/>
      <c r="B23" s="107"/>
      <c r="C23" s="107"/>
      <c r="D23" s="108"/>
      <c r="E23" s="109"/>
      <c r="F23" s="110"/>
      <c r="G23" s="110"/>
      <c r="H23" s="110"/>
      <c r="I23" s="110"/>
      <c r="J23" s="110"/>
      <c r="K23" s="110"/>
      <c r="L23" s="110"/>
      <c r="M23" s="110"/>
      <c r="N23" s="110"/>
      <c r="O23" s="110"/>
      <c r="P23" s="110"/>
      <c r="Q23" s="110"/>
      <c r="R23" s="110"/>
      <c r="S23" s="110"/>
      <c r="T23" s="111"/>
      <c r="U23" s="112"/>
      <c r="V23" s="113"/>
      <c r="W23" s="113"/>
      <c r="X23" s="114"/>
      <c r="Y23" s="112"/>
      <c r="Z23" s="113"/>
      <c r="AA23" s="113"/>
      <c r="AB23" s="114"/>
    </row>
    <row r="24" spans="1:28" x14ac:dyDescent="0.25">
      <c r="A24" s="102"/>
      <c r="B24" s="11"/>
      <c r="C24" s="11"/>
      <c r="D24" s="45"/>
      <c r="E24" s="102" t="s">
        <v>187</v>
      </c>
      <c r="F24" s="11"/>
      <c r="G24" s="11"/>
      <c r="H24" s="11"/>
      <c r="I24" s="11"/>
      <c r="J24" s="11"/>
      <c r="K24" s="11"/>
      <c r="L24" s="11"/>
      <c r="M24" s="11"/>
      <c r="N24" s="11"/>
      <c r="O24" s="11"/>
      <c r="P24" s="11"/>
      <c r="Q24" s="11"/>
      <c r="R24" s="11"/>
      <c r="S24" s="11"/>
      <c r="T24" s="45"/>
      <c r="U24" s="102"/>
      <c r="V24" s="11"/>
      <c r="W24" s="11"/>
      <c r="X24" s="45"/>
      <c r="Y24" s="246">
        <f>+Y19*65%</f>
        <v>64826.19000000001</v>
      </c>
      <c r="Z24" s="247"/>
      <c r="AA24" s="247"/>
      <c r="AB24" s="248"/>
    </row>
    <row r="25" spans="1:28" x14ac:dyDescent="0.25">
      <c r="A25" s="102"/>
      <c r="B25" s="11"/>
      <c r="C25" s="11"/>
      <c r="D25" s="45"/>
      <c r="E25" s="102"/>
      <c r="F25" s="11"/>
      <c r="G25" s="11"/>
      <c r="H25" s="11"/>
      <c r="I25" s="11"/>
      <c r="J25" s="11"/>
      <c r="K25" s="11"/>
      <c r="L25" s="11"/>
      <c r="M25" s="11"/>
      <c r="N25" s="11"/>
      <c r="O25" s="11"/>
      <c r="P25" s="11"/>
      <c r="Q25" s="11"/>
      <c r="R25" s="11"/>
      <c r="S25" s="11"/>
      <c r="T25" s="45"/>
      <c r="U25" s="102"/>
      <c r="V25" s="11"/>
      <c r="W25" s="11"/>
      <c r="X25" s="45"/>
      <c r="Y25" s="102"/>
      <c r="Z25" s="11"/>
      <c r="AA25" s="11"/>
      <c r="AB25" s="45"/>
    </row>
    <row r="26" spans="1:28" x14ac:dyDescent="0.25">
      <c r="A26" s="102"/>
      <c r="B26" s="11"/>
      <c r="C26" s="11"/>
      <c r="D26" s="45"/>
      <c r="E26" s="102"/>
      <c r="F26" s="11"/>
      <c r="G26" s="11"/>
      <c r="H26" s="11"/>
      <c r="I26" s="11"/>
      <c r="J26" s="11"/>
      <c r="K26" s="11"/>
      <c r="L26" s="11"/>
      <c r="M26" s="11"/>
      <c r="N26" s="11"/>
      <c r="O26" s="11"/>
      <c r="P26" s="11"/>
      <c r="Q26" s="11"/>
      <c r="R26" s="11"/>
      <c r="S26" s="11"/>
      <c r="T26" s="45"/>
      <c r="U26" s="102"/>
      <c r="V26" s="11"/>
      <c r="W26" s="11"/>
      <c r="X26" s="45"/>
      <c r="Y26" s="102"/>
      <c r="Z26" s="11"/>
      <c r="AA26" s="11"/>
      <c r="AB26" s="45"/>
    </row>
    <row r="27" spans="1:28" x14ac:dyDescent="0.25">
      <c r="A27" s="102"/>
      <c r="B27" s="11"/>
      <c r="C27" s="11"/>
      <c r="D27" s="45"/>
      <c r="E27" s="102"/>
      <c r="F27" s="11"/>
      <c r="G27" s="11"/>
      <c r="H27" s="11"/>
      <c r="I27" s="11"/>
      <c r="J27" s="11"/>
      <c r="K27" s="11"/>
      <c r="L27" s="11"/>
      <c r="M27" s="11"/>
      <c r="N27" s="11"/>
      <c r="O27" s="11"/>
      <c r="P27" s="11"/>
      <c r="Q27" s="11"/>
      <c r="R27" s="11"/>
      <c r="S27" s="11"/>
      <c r="T27" s="45"/>
      <c r="U27" s="102"/>
      <c r="V27" s="11"/>
      <c r="W27" s="11"/>
      <c r="X27" s="45"/>
      <c r="Y27" s="102"/>
      <c r="Z27" s="11"/>
      <c r="AA27" s="11"/>
      <c r="AB27" s="45"/>
    </row>
    <row r="28" spans="1:28" x14ac:dyDescent="0.25">
      <c r="A28" s="102"/>
      <c r="B28" s="11"/>
      <c r="C28" s="11"/>
      <c r="D28" s="45"/>
      <c r="E28" s="102"/>
      <c r="F28" s="11"/>
      <c r="G28" s="11"/>
      <c r="H28" s="11"/>
      <c r="I28" s="11"/>
      <c r="J28" s="11"/>
      <c r="K28" s="11"/>
      <c r="L28" s="11"/>
      <c r="M28" s="11"/>
      <c r="N28" s="11"/>
      <c r="O28" s="11"/>
      <c r="P28" s="11"/>
      <c r="Q28" s="11"/>
      <c r="R28" s="11"/>
      <c r="S28" s="11"/>
      <c r="T28" s="45"/>
      <c r="U28" s="102"/>
      <c r="V28" s="11"/>
      <c r="W28" s="11"/>
      <c r="X28" s="45"/>
      <c r="Y28" s="102"/>
      <c r="Z28" s="11"/>
      <c r="AA28" s="11"/>
      <c r="AB28" s="45"/>
    </row>
    <row r="29" spans="1:28" x14ac:dyDescent="0.25">
      <c r="A29" s="102"/>
      <c r="B29" s="11"/>
      <c r="C29" s="11"/>
      <c r="D29" s="45"/>
      <c r="E29" s="102"/>
      <c r="F29" s="11"/>
      <c r="G29" s="11"/>
      <c r="H29" s="11"/>
      <c r="I29" s="11"/>
      <c r="J29" s="11"/>
      <c r="K29" s="11"/>
      <c r="L29" s="11"/>
      <c r="M29" s="11"/>
      <c r="N29" s="11"/>
      <c r="O29" s="11"/>
      <c r="P29" s="11"/>
      <c r="Q29" s="11"/>
      <c r="R29" s="11"/>
      <c r="S29" s="11"/>
      <c r="T29" s="45"/>
      <c r="U29" s="102"/>
      <c r="V29" s="11"/>
      <c r="W29" s="11"/>
      <c r="X29" s="45"/>
      <c r="Y29" s="102"/>
      <c r="Z29" s="11"/>
      <c r="AA29" s="11"/>
      <c r="AB29" s="45"/>
    </row>
    <row r="30" spans="1:28" x14ac:dyDescent="0.25">
      <c r="A30" s="102"/>
      <c r="B30" s="11"/>
      <c r="C30" s="11"/>
      <c r="D30" s="45"/>
      <c r="E30" s="102"/>
      <c r="F30" s="11"/>
      <c r="G30" s="11"/>
      <c r="H30" s="11"/>
      <c r="I30" s="11"/>
      <c r="J30" s="11"/>
      <c r="K30" s="11"/>
      <c r="L30" s="11"/>
      <c r="M30" s="11"/>
      <c r="N30" s="11"/>
      <c r="O30" s="11"/>
      <c r="P30" s="11"/>
      <c r="Q30" s="11"/>
      <c r="R30" s="11"/>
      <c r="S30" s="11"/>
      <c r="T30" s="45"/>
      <c r="U30" s="102"/>
      <c r="V30" s="11"/>
      <c r="W30" s="11"/>
      <c r="X30" s="45"/>
      <c r="Y30" s="102"/>
      <c r="Z30" s="11"/>
      <c r="AA30" s="11"/>
      <c r="AB30" s="45"/>
    </row>
    <row r="31" spans="1:28" x14ac:dyDescent="0.25">
      <c r="A31" s="116"/>
      <c r="B31" s="117"/>
      <c r="C31" s="117"/>
      <c r="D31" s="118"/>
      <c r="E31" s="116"/>
      <c r="F31" s="117"/>
      <c r="G31" s="117"/>
      <c r="H31" s="117"/>
      <c r="I31" s="117"/>
      <c r="J31" s="117"/>
      <c r="K31" s="117"/>
      <c r="L31" s="117"/>
      <c r="M31" s="117"/>
      <c r="N31" s="117"/>
      <c r="O31" s="117"/>
      <c r="P31" s="117"/>
      <c r="Q31" s="117"/>
      <c r="R31" s="117"/>
      <c r="S31" s="117"/>
      <c r="T31" s="118"/>
      <c r="U31" s="116"/>
      <c r="V31" s="117"/>
      <c r="W31" s="117"/>
      <c r="X31" s="118"/>
      <c r="Y31" s="116"/>
      <c r="Z31" s="117"/>
      <c r="AA31" s="117"/>
      <c r="AB31" s="118"/>
    </row>
    <row r="32" spans="1:28" x14ac:dyDescent="0.25">
      <c r="U32" s="257" t="s">
        <v>188</v>
      </c>
      <c r="V32" s="258"/>
      <c r="W32" s="258"/>
      <c r="X32" s="259"/>
      <c r="Y32" s="260">
        <f>SUM(Y24:AB31)</f>
        <v>64826.19000000001</v>
      </c>
      <c r="Z32" s="261"/>
      <c r="AA32" s="261"/>
      <c r="AB32" s="262"/>
    </row>
  </sheetData>
  <mergeCells count="28">
    <mergeCell ref="A19:D19"/>
    <mergeCell ref="U19:X19"/>
    <mergeCell ref="Y19:AB19"/>
    <mergeCell ref="Y24:AB24"/>
    <mergeCell ref="U32:X32"/>
    <mergeCell ref="Y32:AB32"/>
    <mergeCell ref="V16:X16"/>
    <mergeCell ref="A17:D17"/>
    <mergeCell ref="U17:X17"/>
    <mergeCell ref="Y17:AB17"/>
    <mergeCell ref="A18:D18"/>
    <mergeCell ref="U18:X18"/>
    <mergeCell ref="Y18:AB18"/>
    <mergeCell ref="Q10:T10"/>
    <mergeCell ref="U10:X10"/>
    <mergeCell ref="Y10:AB10"/>
    <mergeCell ref="A15:D15"/>
    <mergeCell ref="U15:X15"/>
    <mergeCell ref="Y15:AB15"/>
    <mergeCell ref="A10:H10"/>
    <mergeCell ref="A11:H11"/>
    <mergeCell ref="A12:H12"/>
    <mergeCell ref="U2:X2"/>
    <mergeCell ref="Y2:AB2"/>
    <mergeCell ref="U3:X3"/>
    <mergeCell ref="Y3:AB3"/>
    <mergeCell ref="Q9:T9"/>
    <mergeCell ref="Y9:AB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Pre-Qualifying Questionnaire</vt:lpstr>
      <vt:lpstr>Request for Layout</vt:lpstr>
      <vt:lpstr>Billing Information</vt:lpstr>
      <vt:lpstr>Temporary Invoice (if needed)</vt:lpstr>
      <vt:lpstr>'Billing Information'!Print_Area</vt:lpstr>
      <vt:lpstr>'Pre-Qualifying Questionnaire'!Print_Area</vt:lpstr>
      <vt:lpstr>'Request for Layout'!Print_Area</vt:lpstr>
      <vt:lpstr>'Request for Layout'!Print_Titles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Phillips</dc:creator>
  <cp:lastModifiedBy>Dan Phillips</cp:lastModifiedBy>
  <cp:lastPrinted>2014-02-27T14:41:00Z</cp:lastPrinted>
  <dcterms:created xsi:type="dcterms:W3CDTF">2013-07-24T13:44:08Z</dcterms:created>
  <dcterms:modified xsi:type="dcterms:W3CDTF">2014-05-06T17:46:56Z</dcterms:modified>
</cp:coreProperties>
</file>